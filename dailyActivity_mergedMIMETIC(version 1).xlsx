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r\Downloads\"/>
    </mc:Choice>
  </mc:AlternateContent>
  <xr:revisionPtr revIDLastSave="0" documentId="8_{96C1868B-BF7D-4B3F-AF82-C78982C58E48}" xr6:coauthVersionLast="47" xr6:coauthVersionMax="47" xr10:uidLastSave="{00000000-0000-0000-0000-000000000000}"/>
  <bookViews>
    <workbookView xWindow="-108" yWindow="-108" windowWidth="23256" windowHeight="12456" xr2:uid="{B1449CB8-B245-40E2-9D3E-1BFB437AA73B}"/>
  </bookViews>
  <sheets>
    <sheet name="dailyActivity_merged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41" i="1" l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2" i="1"/>
</calcChain>
</file>

<file path=xl/sharedStrings.xml><?xml version="1.0" encoding="utf-8"?>
<sst xmlns="http://schemas.openxmlformats.org/spreadsheetml/2006/main" count="1395" uniqueCount="157">
  <si>
    <t>Id</t>
  </si>
  <si>
    <t>ActivityDate</t>
  </si>
  <si>
    <t>TotalSteps</t>
  </si>
  <si>
    <t>TotalDistance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</si>
  <si>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</si>
  <si>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</si>
  <si>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</si>
  <si>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</si>
  <si>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</si>
  <si>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</si>
  <si>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</si>
  <si>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</si>
  <si>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</si>
  <si>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8.5</t>
  </si>
  <si>
    <t>0.550000011920929</t>
  </si>
  <si>
    <t>4/13/2016</t>
  </si>
  <si>
    <t>0.689999997615814</t>
  </si>
  <si>
    <t>4/14/2016</t>
  </si>
  <si>
    <t>0.400000005960464</t>
  </si>
  <si>
    <t>4/15/2016</t>
  </si>
  <si>
    <t>4/16/2016</t>
  </si>
  <si>
    <t>0.409999996423721</t>
  </si>
  <si>
    <t>4/17/2016</t>
  </si>
  <si>
    <t>0.779999971389771</t>
  </si>
  <si>
    <t>4/18/2016</t>
  </si>
  <si>
    <t>3.25</t>
  </si>
  <si>
    <t>0.639999985694885</t>
  </si>
  <si>
    <t>4/19/2016</t>
  </si>
  <si>
    <t>4/20/2016</t>
  </si>
  <si>
    <t>0.479999989271164</t>
  </si>
  <si>
    <t>4/21/2016</t>
  </si>
  <si>
    <t>0.349999994039536</t>
  </si>
  <si>
    <t>4/22/2016</t>
  </si>
  <si>
    <t>4/23/2016</t>
  </si>
  <si>
    <t>0.870000004768372</t>
  </si>
  <si>
    <t>4/24/2016</t>
  </si>
  <si>
    <t>0.209999993443489</t>
  </si>
  <si>
    <t>4/25/2016</t>
  </si>
  <si>
    <t>0.569999992847443</t>
  </si>
  <si>
    <t>4/26/2016</t>
  </si>
  <si>
    <t>0.920000016689301</t>
  </si>
  <si>
    <t>4/27/2016</t>
  </si>
  <si>
    <t>4/28/2016</t>
  </si>
  <si>
    <t>4/29/2016</t>
  </si>
  <si>
    <t>0.5</t>
  </si>
  <si>
    <t>4/30/2016</t>
  </si>
  <si>
    <t>9.25</t>
  </si>
  <si>
    <t>0.25</t>
  </si>
  <si>
    <t>0.319999992847443</t>
  </si>
  <si>
    <t>0.529999971389771</t>
  </si>
  <si>
    <t>0.00999999977648258</t>
  </si>
  <si>
    <t>0.980000019073486</t>
  </si>
  <si>
    <t>0.970000028610229</t>
  </si>
  <si>
    <t>0.620000004768372</t>
  </si>
  <si>
    <t>0.0199999995529652</t>
  </si>
  <si>
    <t>0.910000026226044</t>
  </si>
  <si>
    <t>0.200000002980232</t>
  </si>
  <si>
    <t>0.899999976158142</t>
  </si>
  <si>
    <t>0.860000014305115</t>
  </si>
  <si>
    <t>0.589999973773956</t>
  </si>
  <si>
    <t>0.140000000596046</t>
  </si>
  <si>
    <t>0.360000014305115</t>
  </si>
  <si>
    <t>0.219999998807907</t>
  </si>
  <si>
    <t>0.150000005960464</t>
  </si>
  <si>
    <t>2.25</t>
  </si>
  <si>
    <t>0.889999985694885</t>
  </si>
  <si>
    <t>0.879999995231628</t>
  </si>
  <si>
    <t>0.579999983310699</t>
  </si>
  <si>
    <t>4.25</t>
  </si>
  <si>
    <t>0.0599999986588955</t>
  </si>
  <si>
    <t>0.800000011920929</t>
  </si>
  <si>
    <t>0.629999995231628</t>
  </si>
  <si>
    <t>0.239999994635582</t>
  </si>
  <si>
    <t>0.990000009536743</t>
  </si>
  <si>
    <t>0.0700000002980232</t>
  </si>
  <si>
    <t>0.310000002384186</t>
  </si>
  <si>
    <t>0.720000028610229</t>
  </si>
  <si>
    <t>0.519999980926514</t>
  </si>
  <si>
    <t>0.540000021457672</t>
  </si>
  <si>
    <t>0.819999992847443</t>
  </si>
  <si>
    <t>0.270000010728836</t>
  </si>
  <si>
    <t>0.790000021457672</t>
  </si>
  <si>
    <t>0.810000002384186</t>
  </si>
  <si>
    <t>0.949999988079071</t>
  </si>
  <si>
    <t>5.25</t>
  </si>
  <si>
    <t>0.259999990463257</t>
  </si>
  <si>
    <t>0.129999995231628</t>
  </si>
  <si>
    <t>0.119999997317791</t>
  </si>
  <si>
    <t>0.0299999993294477</t>
  </si>
  <si>
    <t>0.469999998807907</t>
  </si>
  <si>
    <t>1.5</t>
  </si>
  <si>
    <t>0.680000007152557</t>
  </si>
  <si>
    <t>0.170000001788139</t>
  </si>
  <si>
    <t>0.100000001490116</t>
  </si>
  <si>
    <t>0.109999999403954</t>
  </si>
  <si>
    <t>0.829999983310699</t>
  </si>
  <si>
    <t>0.300000011920929</t>
  </si>
  <si>
    <t>0.730000019073486</t>
  </si>
  <si>
    <t>0.180000007152557</t>
  </si>
  <si>
    <t>0.769999980926514</t>
  </si>
  <si>
    <t>7.5</t>
  </si>
  <si>
    <t>0.660000026226044</t>
  </si>
  <si>
    <t>0.419999986886978</t>
  </si>
  <si>
    <t>5.5</t>
  </si>
  <si>
    <t>0.939999997615814</t>
  </si>
  <si>
    <t>0.959999978542328</t>
  </si>
  <si>
    <t>4.5</t>
  </si>
  <si>
    <t>0.340000003576279</t>
  </si>
  <si>
    <t>0.46000000834465</t>
  </si>
  <si>
    <t>0.930000007152557</t>
  </si>
  <si>
    <t>0.670000016689301</t>
  </si>
  <si>
    <t>0.0799999982118607</t>
  </si>
  <si>
    <t>0.189999997615814</t>
  </si>
  <si>
    <t>0.159999996423721</t>
  </si>
  <si>
    <t>0.379999995231628</t>
  </si>
  <si>
    <t>0.490000009536743</t>
  </si>
  <si>
    <t>0.230000004172325</t>
  </si>
  <si>
    <t>0.370000004768372</t>
  </si>
  <si>
    <t>0.389999985694885</t>
  </si>
  <si>
    <t>0.280000001192093</t>
  </si>
  <si>
    <t>6.75</t>
  </si>
  <si>
    <t>0.560000002384186</t>
  </si>
  <si>
    <t>0.330000013113022</t>
  </si>
  <si>
    <t>4.75</t>
  </si>
  <si>
    <t>0.839999973773956</t>
  </si>
  <si>
    <t>0.0900000035762787</t>
  </si>
  <si>
    <t>0.0500000007450581</t>
  </si>
  <si>
    <t>1.75</t>
  </si>
  <si>
    <t>0.699999988079071</t>
  </si>
  <si>
    <t>0.430000007152557</t>
  </si>
  <si>
    <t>0.449999988079071</t>
  </si>
  <si>
    <t>0.28999999165535</t>
  </si>
  <si>
    <t>7.75</t>
  </si>
  <si>
    <t>0.0399999991059303</t>
  </si>
  <si>
    <t>0.439999997615814</t>
  </si>
  <si>
    <t>6.25</t>
  </si>
  <si>
    <t>0.740000009536743</t>
  </si>
  <si>
    <t>0.509999990463257</t>
  </si>
  <si>
    <t>0.649999976158142</t>
  </si>
  <si>
    <t>1.25</t>
  </si>
  <si>
    <t>0.75</t>
  </si>
  <si>
    <t>3.5</t>
  </si>
  <si>
    <t>0.600000023841858</t>
  </si>
  <si>
    <t>0.759999990463257</t>
  </si>
  <si>
    <t>0.850000023841858</t>
  </si>
  <si>
    <t>0.610000014305115</t>
  </si>
  <si>
    <t>8.25</t>
  </si>
  <si>
    <t>2.5</t>
  </si>
  <si>
    <t>2.75</t>
  </si>
  <si>
    <t>3.75</t>
  </si>
  <si>
    <t>0.709999978542328</t>
  </si>
  <si>
    <t>7.25</t>
  </si>
  <si>
    <t>6.5</t>
  </si>
  <si>
    <t>18.25</t>
  </si>
  <si>
    <t>Nivel_Pasos</t>
  </si>
  <si>
    <t xml:space="preserve"> </t>
  </si>
  <si>
    <t>Nivel_Sedentarismo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</si>
</sst>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EFA4A-7063-406E-AD66-0FC291651C87}">
  <dimension ref="A1:Q941"/>
  <sheetViews>
    <sheetView tabSelected="1" workbookViewId="0">
      <selection activeCell="D7" sqref="A7:XFD7"/>
    </sheetView>
  </sheetViews>
  <sheetFormatPr baseColWidth="10" defaultRowHeight="14.4" x14ac:dyDescent="0.3"/>
  <cols>
    <col min="1" max="1" width="11" bestFit="1" customWidth="1"/>
    <col min="2" max="2" width="10.44140625" bestFit="1" customWidth="1"/>
    <col min="3" max="3" width="9.33203125" bestFit="1" customWidth="1"/>
    <col min="4" max="4" width="19.6640625" bestFit="1" customWidth="1"/>
    <col min="5" max="5" width="18.6640625" bestFit="1" customWidth="1"/>
    <col min="6" max="6" width="22.109375" bestFit="1" customWidth="1"/>
    <col min="7" max="7" width="19.6640625" bestFit="1" customWidth="1"/>
    <col min="8" max="8" width="21.21875" bestFit="1" customWidth="1"/>
    <col min="9" max="9" width="15.77734375" bestFit="1" customWidth="1"/>
    <col min="10" max="10" width="16.6640625" bestFit="1" customWidth="1"/>
    <col min="11" max="11" width="17.33203125" bestFit="1" customWidth="1"/>
    <col min="12" max="12" width="15.33203125" bestFit="1" customWidth="1"/>
    <col min="13" max="13" width="7.6640625" bestFit="1" customWidth="1"/>
    <col min="14" max="14" width="11.77734375" bestFit="1" customWidth="1"/>
    <col min="15" max="15" width="17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154</v>
      </c>
      <c r="O1" t="s">
        <v>156</v>
      </c>
    </row>
    <row r="2" spans="1:17" x14ac:dyDescent="0.3">
      <c r="A2">
        <v>1503960366</v>
      </c>
      <c r="B2" s="1">
        <v>42708</v>
      </c>
      <c r="C2">
        <v>13162</v>
      </c>
      <c r="D2" t="s">
        <v>13</v>
      </c>
      <c r="E2" s="2">
        <v>187999999523163</v>
      </c>
      <c r="F2" t="s">
        <v>14</v>
      </c>
      <c r="G2" s="2">
        <v>605999994277954</v>
      </c>
      <c r="H2">
        <v>0</v>
      </c>
      <c r="I2">
        <v>25</v>
      </c>
      <c r="J2">
        <v>13</v>
      </c>
      <c r="K2">
        <v>328</v>
      </c>
      <c r="L2">
        <v>728</v>
      </c>
      <c r="M2">
        <v>1985</v>
      </c>
      <c r="N2" t="str">
        <f>IF(C2&gt;=10000, "Alta Actividad", "Baja Actividad")</f>
        <v>Alta Actividad</v>
      </c>
      <c r="O2" t="str">
        <f>IF(L2&gt;=700, "Alto Sedentarismo",  "Bajo Sedentarismo")</f>
        <v>Alto Sedentarismo</v>
      </c>
    </row>
    <row r="3" spans="1:17" x14ac:dyDescent="0.3">
      <c r="A3">
        <v>1503960366</v>
      </c>
      <c r="B3" t="s">
        <v>15</v>
      </c>
      <c r="C3">
        <v>10735</v>
      </c>
      <c r="D3" s="2">
        <v>696999979019165</v>
      </c>
      <c r="E3" s="2">
        <v>157000005245209</v>
      </c>
      <c r="F3" t="s">
        <v>16</v>
      </c>
      <c r="G3" s="2">
        <v>471000003814697</v>
      </c>
      <c r="H3">
        <v>0</v>
      </c>
      <c r="I3">
        <v>21</v>
      </c>
      <c r="J3">
        <v>19</v>
      </c>
      <c r="K3">
        <v>217</v>
      </c>
      <c r="L3">
        <v>776</v>
      </c>
      <c r="M3">
        <v>1797</v>
      </c>
      <c r="N3" t="str">
        <f t="shared" ref="N3:N66" si="0">IF(C3&gt;=10000, "Alta Actividad", "Baja Actividad")</f>
        <v>Alta Actividad</v>
      </c>
      <c r="O3" t="str">
        <f t="shared" ref="O3:O66" si="1">IF(L3&gt;=700, "Alto Sedentarismo",  "Bajo Sedentarismo")</f>
        <v>Alto Sedentarismo</v>
      </c>
    </row>
    <row r="4" spans="1:17" x14ac:dyDescent="0.3">
      <c r="A4">
        <v>1503960366</v>
      </c>
      <c r="B4" t="s">
        <v>17</v>
      </c>
      <c r="C4">
        <v>10460</v>
      </c>
      <c r="D4" s="2">
        <v>673999977111816</v>
      </c>
      <c r="E4" s="2">
        <v>244000005722046</v>
      </c>
      <c r="F4" t="s">
        <v>18</v>
      </c>
      <c r="G4" s="2">
        <v>391000008583069</v>
      </c>
      <c r="H4">
        <v>0</v>
      </c>
      <c r="I4">
        <v>30</v>
      </c>
      <c r="J4">
        <v>11</v>
      </c>
      <c r="K4">
        <v>181</v>
      </c>
      <c r="L4">
        <v>1218</v>
      </c>
      <c r="M4">
        <v>1776</v>
      </c>
      <c r="N4" t="str">
        <f t="shared" si="0"/>
        <v>Alta Actividad</v>
      </c>
      <c r="O4" t="str">
        <f t="shared" si="1"/>
        <v>Alto Sedentarismo</v>
      </c>
    </row>
    <row r="5" spans="1:17" x14ac:dyDescent="0.3">
      <c r="A5">
        <v>1503960366</v>
      </c>
      <c r="B5" t="s">
        <v>19</v>
      </c>
      <c r="C5">
        <v>9762</v>
      </c>
      <c r="D5" s="2">
        <v>628000020980835</v>
      </c>
      <c r="E5" s="2">
        <v>214000010490417</v>
      </c>
      <c r="F5" s="2">
        <v>125999999046326</v>
      </c>
      <c r="G5" s="2">
        <v>282999992370605</v>
      </c>
      <c r="H5">
        <v>0</v>
      </c>
      <c r="I5">
        <v>29</v>
      </c>
      <c r="J5">
        <v>34</v>
      </c>
      <c r="K5">
        <v>209</v>
      </c>
      <c r="L5">
        <v>726</v>
      </c>
      <c r="M5">
        <v>1745</v>
      </c>
      <c r="N5" t="str">
        <f t="shared" si="0"/>
        <v>Baja Actividad</v>
      </c>
      <c r="O5" t="str">
        <f t="shared" si="1"/>
        <v>Alto Sedentarismo</v>
      </c>
    </row>
    <row r="6" spans="1:17" x14ac:dyDescent="0.3">
      <c r="A6">
        <v>1503960366</v>
      </c>
      <c r="B6" t="s">
        <v>20</v>
      </c>
      <c r="C6">
        <v>12669</v>
      </c>
      <c r="D6" s="2">
        <v>815999984741211</v>
      </c>
      <c r="E6" s="2">
        <v>271000003814697</v>
      </c>
      <c r="F6" t="s">
        <v>21</v>
      </c>
      <c r="G6" s="2">
        <v>503999996185303</v>
      </c>
      <c r="H6">
        <v>0</v>
      </c>
      <c r="I6">
        <v>36</v>
      </c>
      <c r="J6">
        <v>10</v>
      </c>
      <c r="K6">
        <v>221</v>
      </c>
      <c r="L6">
        <v>773</v>
      </c>
      <c r="M6">
        <v>1863</v>
      </c>
      <c r="N6" t="str">
        <f t="shared" si="0"/>
        <v>Alta Actividad</v>
      </c>
      <c r="O6" t="str">
        <f t="shared" si="1"/>
        <v>Alto Sedentarismo</v>
      </c>
    </row>
    <row r="7" spans="1:17" x14ac:dyDescent="0.3">
      <c r="A7">
        <v>1503960366</v>
      </c>
      <c r="B7" t="s">
        <v>22</v>
      </c>
      <c r="C7">
        <v>9705</v>
      </c>
      <c r="D7" s="2">
        <v>648000001907349</v>
      </c>
      <c r="E7" s="2">
        <v>319000005722046</v>
      </c>
      <c r="F7" t="s">
        <v>23</v>
      </c>
      <c r="G7" s="2">
        <v>250999999046326</v>
      </c>
      <c r="H7">
        <v>0</v>
      </c>
      <c r="I7">
        <v>38</v>
      </c>
      <c r="J7">
        <v>20</v>
      </c>
      <c r="K7">
        <v>164</v>
      </c>
      <c r="L7">
        <v>539</v>
      </c>
      <c r="M7">
        <v>1728</v>
      </c>
      <c r="N7" t="str">
        <f t="shared" si="0"/>
        <v>Baja Actividad</v>
      </c>
      <c r="O7" t="str">
        <f t="shared" si="1"/>
        <v>Bajo Sedentarismo</v>
      </c>
      <c r="Q7" t="s">
        <v>155</v>
      </c>
    </row>
    <row r="8" spans="1:17" x14ac:dyDescent="0.3">
      <c r="A8">
        <v>1503960366</v>
      </c>
      <c r="B8" t="s">
        <v>24</v>
      </c>
      <c r="C8">
        <v>13019</v>
      </c>
      <c r="D8" s="2">
        <v>859000015258789</v>
      </c>
      <c r="E8" t="s">
        <v>25</v>
      </c>
      <c r="F8" t="s">
        <v>26</v>
      </c>
      <c r="G8" s="2">
        <v>471000003814697</v>
      </c>
      <c r="H8">
        <v>0</v>
      </c>
      <c r="I8">
        <v>42</v>
      </c>
      <c r="J8">
        <v>16</v>
      </c>
      <c r="K8">
        <v>233</v>
      </c>
      <c r="L8">
        <v>1149</v>
      </c>
      <c r="M8">
        <v>1921</v>
      </c>
      <c r="N8" t="str">
        <f t="shared" si="0"/>
        <v>Alta Actividad</v>
      </c>
      <c r="O8" t="str">
        <f t="shared" si="1"/>
        <v>Alto Sedentarismo</v>
      </c>
    </row>
    <row r="9" spans="1:17" x14ac:dyDescent="0.3">
      <c r="A9">
        <v>1503960366</v>
      </c>
      <c r="B9" t="s">
        <v>27</v>
      </c>
      <c r="C9">
        <v>15506</v>
      </c>
      <c r="D9" s="2">
        <v>988000011444092</v>
      </c>
      <c r="E9" s="2">
        <v>352999997138977</v>
      </c>
      <c r="F9" s="2">
        <v>132000005245209</v>
      </c>
      <c r="G9" s="2">
        <v>503000020980835</v>
      </c>
      <c r="H9">
        <v>0</v>
      </c>
      <c r="I9">
        <v>50</v>
      </c>
      <c r="J9">
        <v>31</v>
      </c>
      <c r="K9">
        <v>264</v>
      </c>
      <c r="L9">
        <v>775</v>
      </c>
      <c r="M9">
        <v>2035</v>
      </c>
      <c r="N9" t="str">
        <f t="shared" si="0"/>
        <v>Alta Actividad</v>
      </c>
      <c r="O9" t="str">
        <f t="shared" si="1"/>
        <v>Alto Sedentarismo</v>
      </c>
    </row>
    <row r="10" spans="1:17" x14ac:dyDescent="0.3">
      <c r="A10">
        <v>1503960366</v>
      </c>
      <c r="B10" t="s">
        <v>28</v>
      </c>
      <c r="C10">
        <v>10544</v>
      </c>
      <c r="D10" s="2">
        <v>667999982833862</v>
      </c>
      <c r="E10" s="2">
        <v>196000003814697</v>
      </c>
      <c r="F10" t="s">
        <v>29</v>
      </c>
      <c r="G10" s="2">
        <v>423999977111816</v>
      </c>
      <c r="H10">
        <v>0</v>
      </c>
      <c r="I10">
        <v>28</v>
      </c>
      <c r="J10">
        <v>12</v>
      </c>
      <c r="K10">
        <v>205</v>
      </c>
      <c r="L10">
        <v>818</v>
      </c>
      <c r="M10">
        <v>1786</v>
      </c>
      <c r="N10" t="str">
        <f t="shared" si="0"/>
        <v>Alta Actividad</v>
      </c>
      <c r="O10" t="str">
        <f t="shared" si="1"/>
        <v>Alto Sedentarismo</v>
      </c>
    </row>
    <row r="11" spans="1:17" x14ac:dyDescent="0.3">
      <c r="A11">
        <v>1503960366</v>
      </c>
      <c r="B11" t="s">
        <v>30</v>
      </c>
      <c r="C11">
        <v>9819</v>
      </c>
      <c r="D11" s="2">
        <v>634000015258789</v>
      </c>
      <c r="E11" s="2">
        <v>13400000333786</v>
      </c>
      <c r="F11" t="s">
        <v>31</v>
      </c>
      <c r="G11" s="2">
        <v>465000009536743</v>
      </c>
      <c r="H11">
        <v>0</v>
      </c>
      <c r="I11">
        <v>19</v>
      </c>
      <c r="J11">
        <v>8</v>
      </c>
      <c r="K11">
        <v>211</v>
      </c>
      <c r="L11">
        <v>838</v>
      </c>
      <c r="M11">
        <v>1775</v>
      </c>
      <c r="N11" t="str">
        <f t="shared" si="0"/>
        <v>Baja Actividad</v>
      </c>
      <c r="O11" t="str">
        <f t="shared" si="1"/>
        <v>Alto Sedentarismo</v>
      </c>
    </row>
    <row r="12" spans="1:17" x14ac:dyDescent="0.3">
      <c r="A12">
        <v>1503960366</v>
      </c>
      <c r="B12" t="s">
        <v>32</v>
      </c>
      <c r="C12">
        <v>12764</v>
      </c>
      <c r="D12" s="2">
        <v>813000011444092</v>
      </c>
      <c r="E12" s="2">
        <v>476000022888184</v>
      </c>
      <c r="F12" s="2">
        <v>112000000476837</v>
      </c>
      <c r="G12" s="2">
        <v>224000000953674</v>
      </c>
      <c r="H12">
        <v>0</v>
      </c>
      <c r="I12">
        <v>66</v>
      </c>
      <c r="J12">
        <v>27</v>
      </c>
      <c r="K12">
        <v>130</v>
      </c>
      <c r="L12">
        <v>1217</v>
      </c>
      <c r="M12">
        <v>1827</v>
      </c>
      <c r="N12" t="str">
        <f t="shared" si="0"/>
        <v>Alta Actividad</v>
      </c>
      <c r="O12" t="str">
        <f t="shared" si="1"/>
        <v>Alto Sedentarismo</v>
      </c>
    </row>
    <row r="13" spans="1:17" x14ac:dyDescent="0.3">
      <c r="A13">
        <v>1503960366</v>
      </c>
      <c r="B13" t="s">
        <v>33</v>
      </c>
      <c r="C13">
        <v>14371</v>
      </c>
      <c r="D13" s="2">
        <v>903999996185303</v>
      </c>
      <c r="E13" s="2">
        <v>280999994277954</v>
      </c>
      <c r="F13" t="s">
        <v>34</v>
      </c>
      <c r="G13" s="2">
        <v>53600001335144</v>
      </c>
      <c r="H13">
        <v>0</v>
      </c>
      <c r="I13">
        <v>41</v>
      </c>
      <c r="J13">
        <v>21</v>
      </c>
      <c r="K13">
        <v>262</v>
      </c>
      <c r="L13">
        <v>732</v>
      </c>
      <c r="M13">
        <v>1949</v>
      </c>
      <c r="N13" t="str">
        <f t="shared" si="0"/>
        <v>Alta Actividad</v>
      </c>
      <c r="O13" t="str">
        <f t="shared" si="1"/>
        <v>Alto Sedentarismo</v>
      </c>
    </row>
    <row r="14" spans="1:17" x14ac:dyDescent="0.3">
      <c r="A14">
        <v>1503960366</v>
      </c>
      <c r="B14" t="s">
        <v>35</v>
      </c>
      <c r="C14">
        <v>10039</v>
      </c>
      <c r="D14" s="2">
        <v>640999984741211</v>
      </c>
      <c r="E14" s="2">
        <v>292000007629395</v>
      </c>
      <c r="F14" t="s">
        <v>36</v>
      </c>
      <c r="G14" s="2">
        <v>327999997138977</v>
      </c>
      <c r="H14">
        <v>0</v>
      </c>
      <c r="I14">
        <v>39</v>
      </c>
      <c r="J14">
        <v>5</v>
      </c>
      <c r="K14">
        <v>238</v>
      </c>
      <c r="L14">
        <v>709</v>
      </c>
      <c r="M14">
        <v>1788</v>
      </c>
      <c r="N14" t="str">
        <f t="shared" si="0"/>
        <v>Alta Actividad</v>
      </c>
      <c r="O14" t="str">
        <f t="shared" si="1"/>
        <v>Alto Sedentarismo</v>
      </c>
    </row>
    <row r="15" spans="1:17" x14ac:dyDescent="0.3">
      <c r="A15">
        <v>1503960366</v>
      </c>
      <c r="B15" t="s">
        <v>37</v>
      </c>
      <c r="C15">
        <v>15355</v>
      </c>
      <c r="D15" s="2">
        <v>980000019073486</v>
      </c>
      <c r="E15" s="2">
        <v>528999996185303</v>
      </c>
      <c r="F15" t="s">
        <v>38</v>
      </c>
      <c r="G15" s="2">
        <v>394000005722046</v>
      </c>
      <c r="H15">
        <v>0</v>
      </c>
      <c r="I15">
        <v>73</v>
      </c>
      <c r="J15">
        <v>14</v>
      </c>
      <c r="K15">
        <v>216</v>
      </c>
      <c r="L15">
        <v>814</v>
      </c>
      <c r="M15">
        <v>2013</v>
      </c>
      <c r="N15" t="str">
        <f t="shared" si="0"/>
        <v>Alta Actividad</v>
      </c>
      <c r="O15" t="str">
        <f t="shared" si="1"/>
        <v>Alto Sedentarismo</v>
      </c>
    </row>
    <row r="16" spans="1:17" x14ac:dyDescent="0.3">
      <c r="A16">
        <v>1503960366</v>
      </c>
      <c r="B16" t="s">
        <v>39</v>
      </c>
      <c r="C16">
        <v>13755</v>
      </c>
      <c r="D16" s="2">
        <v>878999996185303</v>
      </c>
      <c r="E16" s="2">
        <v>232999992370605</v>
      </c>
      <c r="F16" t="s">
        <v>40</v>
      </c>
      <c r="G16" s="2">
        <v>553999996185303</v>
      </c>
      <c r="H16">
        <v>0</v>
      </c>
      <c r="I16">
        <v>31</v>
      </c>
      <c r="J16">
        <v>23</v>
      </c>
      <c r="K16">
        <v>279</v>
      </c>
      <c r="L16">
        <v>833</v>
      </c>
      <c r="M16">
        <v>1970</v>
      </c>
      <c r="N16" t="str">
        <f t="shared" si="0"/>
        <v>Alta Actividad</v>
      </c>
      <c r="O16" t="str">
        <f t="shared" si="1"/>
        <v>Alto Sedentarismo</v>
      </c>
    </row>
    <row r="17" spans="1:15" x14ac:dyDescent="0.3">
      <c r="A17">
        <v>1503960366</v>
      </c>
      <c r="B17" t="s">
        <v>41</v>
      </c>
      <c r="C17">
        <v>18134</v>
      </c>
      <c r="D17" s="2">
        <v>12210000038147</v>
      </c>
      <c r="E17" s="2">
        <v>640000009536743</v>
      </c>
      <c r="F17" t="s">
        <v>21</v>
      </c>
      <c r="G17" s="2">
        <v>540999984741211</v>
      </c>
      <c r="H17">
        <v>0</v>
      </c>
      <c r="I17">
        <v>78</v>
      </c>
      <c r="J17">
        <v>11</v>
      </c>
      <c r="K17">
        <v>243</v>
      </c>
      <c r="L17">
        <v>1108</v>
      </c>
      <c r="M17">
        <v>2159</v>
      </c>
      <c r="N17" t="str">
        <f t="shared" si="0"/>
        <v>Alta Actividad</v>
      </c>
      <c r="O17" t="str">
        <f t="shared" si="1"/>
        <v>Alto Sedentarismo</v>
      </c>
    </row>
    <row r="18" spans="1:15" x14ac:dyDescent="0.3">
      <c r="A18">
        <v>1503960366</v>
      </c>
      <c r="B18" t="s">
        <v>42</v>
      </c>
      <c r="C18">
        <v>13154</v>
      </c>
      <c r="D18" s="2">
        <v>852999973297119</v>
      </c>
      <c r="E18" s="2">
        <v>353999996185303</v>
      </c>
      <c r="F18" s="2">
        <v>11599999666214</v>
      </c>
      <c r="G18" s="2">
        <v>378999996185303</v>
      </c>
      <c r="H18">
        <v>0</v>
      </c>
      <c r="I18">
        <v>48</v>
      </c>
      <c r="J18">
        <v>28</v>
      </c>
      <c r="K18">
        <v>189</v>
      </c>
      <c r="L18">
        <v>782</v>
      </c>
      <c r="M18">
        <v>1898</v>
      </c>
      <c r="N18" t="str">
        <f t="shared" si="0"/>
        <v>Alta Actividad</v>
      </c>
      <c r="O18" t="str">
        <f t="shared" si="1"/>
        <v>Alto Sedentarismo</v>
      </c>
    </row>
    <row r="19" spans="1:15" x14ac:dyDescent="0.3">
      <c r="A19">
        <v>1503960366</v>
      </c>
      <c r="B19" t="s">
        <v>43</v>
      </c>
      <c r="C19">
        <v>11181</v>
      </c>
      <c r="D19" s="2">
        <v>715000009536743</v>
      </c>
      <c r="E19" s="2">
        <v>105999994277954</v>
      </c>
      <c r="F19" t="s">
        <v>44</v>
      </c>
      <c r="G19" s="2">
        <v>557999992370605</v>
      </c>
      <c r="H19">
        <v>0</v>
      </c>
      <c r="I19">
        <v>16</v>
      </c>
      <c r="J19">
        <v>12</v>
      </c>
      <c r="K19">
        <v>243</v>
      </c>
      <c r="L19">
        <v>815</v>
      </c>
      <c r="M19">
        <v>1837</v>
      </c>
      <c r="N19" t="str">
        <f t="shared" si="0"/>
        <v>Alta Actividad</v>
      </c>
      <c r="O19" t="str">
        <f t="shared" si="1"/>
        <v>Alto Sedentarismo</v>
      </c>
    </row>
    <row r="20" spans="1:15" x14ac:dyDescent="0.3">
      <c r="A20">
        <v>1503960366</v>
      </c>
      <c r="B20" t="s">
        <v>45</v>
      </c>
      <c r="C20">
        <v>14673</v>
      </c>
      <c r="D20" t="s">
        <v>46</v>
      </c>
      <c r="E20" s="2">
        <v>355999994277954</v>
      </c>
      <c r="F20" s="2">
        <v>141999995708466</v>
      </c>
      <c r="G20" s="2">
        <v>426999998092651</v>
      </c>
      <c r="H20">
        <v>0</v>
      </c>
      <c r="I20">
        <v>52</v>
      </c>
      <c r="J20">
        <v>34</v>
      </c>
      <c r="K20">
        <v>217</v>
      </c>
      <c r="L20">
        <v>712</v>
      </c>
      <c r="M20">
        <v>1947</v>
      </c>
      <c r="N20" t="str">
        <f t="shared" si="0"/>
        <v>Alta Actividad</v>
      </c>
      <c r="O20" t="str">
        <f t="shared" si="1"/>
        <v>Alto Sedentarismo</v>
      </c>
    </row>
    <row r="21" spans="1:15" x14ac:dyDescent="0.3">
      <c r="A21">
        <v>1503960366</v>
      </c>
      <c r="B21" s="1">
        <v>42374</v>
      </c>
      <c r="C21">
        <v>10602</v>
      </c>
      <c r="D21" s="2">
        <v>680999994277954</v>
      </c>
      <c r="E21" s="2">
        <v>228999996185303</v>
      </c>
      <c r="F21" s="2">
        <v>160000002384186</v>
      </c>
      <c r="G21" s="2">
        <v>292000007629395</v>
      </c>
      <c r="H21">
        <v>0</v>
      </c>
      <c r="I21">
        <v>33</v>
      </c>
      <c r="J21">
        <v>35</v>
      </c>
      <c r="K21">
        <v>246</v>
      </c>
      <c r="L21">
        <v>730</v>
      </c>
      <c r="M21">
        <v>1820</v>
      </c>
      <c r="N21" t="str">
        <f t="shared" si="0"/>
        <v>Alta Actividad</v>
      </c>
      <c r="O21" t="str">
        <f t="shared" si="1"/>
        <v>Alto Sedentarismo</v>
      </c>
    </row>
    <row r="22" spans="1:15" x14ac:dyDescent="0.3">
      <c r="A22">
        <v>1503960366</v>
      </c>
      <c r="B22" s="1">
        <v>42405</v>
      </c>
      <c r="C22">
        <v>14727</v>
      </c>
      <c r="D22" s="2">
        <v>971000003814697</v>
      </c>
      <c r="E22" s="2">
        <v>321000003814697</v>
      </c>
      <c r="F22" t="s">
        <v>38</v>
      </c>
      <c r="G22" s="2">
        <v>592000007629395</v>
      </c>
      <c r="H22">
        <v>0</v>
      </c>
      <c r="I22">
        <v>41</v>
      </c>
      <c r="J22">
        <v>15</v>
      </c>
      <c r="K22">
        <v>277</v>
      </c>
      <c r="L22">
        <v>798</v>
      </c>
      <c r="M22">
        <v>2004</v>
      </c>
      <c r="N22" t="str">
        <f t="shared" si="0"/>
        <v>Alta Actividad</v>
      </c>
      <c r="O22" t="str">
        <f t="shared" si="1"/>
        <v>Alto Sedentarismo</v>
      </c>
    </row>
    <row r="23" spans="1:15" x14ac:dyDescent="0.3">
      <c r="A23">
        <v>1503960366</v>
      </c>
      <c r="B23" s="1">
        <v>42434</v>
      </c>
      <c r="C23">
        <v>15103</v>
      </c>
      <c r="D23" s="2">
        <v>965999984741211</v>
      </c>
      <c r="E23" s="2">
        <v>373000001907349</v>
      </c>
      <c r="F23" s="2">
        <v>104999995231628</v>
      </c>
      <c r="G23" s="2">
        <v>488000011444092</v>
      </c>
      <c r="H23">
        <v>0</v>
      </c>
      <c r="I23">
        <v>50</v>
      </c>
      <c r="J23">
        <v>24</v>
      </c>
      <c r="K23">
        <v>254</v>
      </c>
      <c r="L23">
        <v>816</v>
      </c>
      <c r="M23">
        <v>1990</v>
      </c>
      <c r="N23" t="str">
        <f t="shared" si="0"/>
        <v>Alta Actividad</v>
      </c>
      <c r="O23" t="str">
        <f t="shared" si="1"/>
        <v>Alto Sedentarismo</v>
      </c>
    </row>
    <row r="24" spans="1:15" x14ac:dyDescent="0.3">
      <c r="A24">
        <v>1503960366</v>
      </c>
      <c r="B24" s="1">
        <v>42465</v>
      </c>
      <c r="C24">
        <v>11100</v>
      </c>
      <c r="D24" s="2">
        <v>715000009536743</v>
      </c>
      <c r="E24" s="2">
        <v>246000003814697</v>
      </c>
      <c r="F24" t="s">
        <v>34</v>
      </c>
      <c r="G24" s="2">
        <v>38199999332428</v>
      </c>
      <c r="H24">
        <v>0</v>
      </c>
      <c r="I24">
        <v>36</v>
      </c>
      <c r="J24">
        <v>22</v>
      </c>
      <c r="K24">
        <v>203</v>
      </c>
      <c r="L24">
        <v>1179</v>
      </c>
      <c r="M24">
        <v>1819</v>
      </c>
      <c r="N24" t="str">
        <f t="shared" si="0"/>
        <v>Alta Actividad</v>
      </c>
      <c r="O24" t="str">
        <f t="shared" si="1"/>
        <v>Alto Sedentarismo</v>
      </c>
    </row>
    <row r="25" spans="1:15" x14ac:dyDescent="0.3">
      <c r="A25">
        <v>1503960366</v>
      </c>
      <c r="B25" s="1">
        <v>42495</v>
      </c>
      <c r="C25">
        <v>14070</v>
      </c>
      <c r="D25" s="2">
        <v>889999961853027</v>
      </c>
      <c r="E25" s="2">
        <v>292000007629395</v>
      </c>
      <c r="F25" s="2">
        <v>108000004291534</v>
      </c>
      <c r="G25" s="2">
        <v>488000011444092</v>
      </c>
      <c r="H25">
        <v>0</v>
      </c>
      <c r="I25">
        <v>45</v>
      </c>
      <c r="J25">
        <v>24</v>
      </c>
      <c r="K25">
        <v>250</v>
      </c>
      <c r="L25">
        <v>857</v>
      </c>
      <c r="M25">
        <v>1959</v>
      </c>
      <c r="N25" t="str">
        <f t="shared" si="0"/>
        <v>Alta Actividad</v>
      </c>
      <c r="O25" t="str">
        <f t="shared" si="1"/>
        <v>Alto Sedentarismo</v>
      </c>
    </row>
    <row r="26" spans="1:15" x14ac:dyDescent="0.3">
      <c r="A26">
        <v>1503960366</v>
      </c>
      <c r="B26" s="1">
        <v>42526</v>
      </c>
      <c r="C26">
        <v>12159</v>
      </c>
      <c r="D26" s="2">
        <v>802999973297119</v>
      </c>
      <c r="E26" s="2">
        <v>197000002861023</v>
      </c>
      <c r="F26" t="s">
        <v>47</v>
      </c>
      <c r="G26" s="2">
        <v>580999994277954</v>
      </c>
      <c r="H26">
        <v>0</v>
      </c>
      <c r="I26">
        <v>24</v>
      </c>
      <c r="J26">
        <v>6</v>
      </c>
      <c r="K26">
        <v>289</v>
      </c>
      <c r="L26">
        <v>754</v>
      </c>
      <c r="M26">
        <v>1896</v>
      </c>
      <c r="N26" t="str">
        <f t="shared" si="0"/>
        <v>Alta Actividad</v>
      </c>
      <c r="O26" t="str">
        <f t="shared" si="1"/>
        <v>Alto Sedentarismo</v>
      </c>
    </row>
    <row r="27" spans="1:15" x14ac:dyDescent="0.3">
      <c r="A27">
        <v>1503960366</v>
      </c>
      <c r="B27" s="1">
        <v>42556</v>
      </c>
      <c r="C27">
        <v>11992</v>
      </c>
      <c r="D27" s="2">
        <v>771000003814697</v>
      </c>
      <c r="E27" s="2">
        <v>246000003814697</v>
      </c>
      <c r="F27" s="2">
        <v>211999988555908</v>
      </c>
      <c r="G27" s="2">
        <v>313000011444092</v>
      </c>
      <c r="H27">
        <v>0</v>
      </c>
      <c r="I27">
        <v>37</v>
      </c>
      <c r="J27">
        <v>46</v>
      </c>
      <c r="K27">
        <v>175</v>
      </c>
      <c r="L27">
        <v>833</v>
      </c>
      <c r="M27">
        <v>1821</v>
      </c>
      <c r="N27" t="str">
        <f t="shared" si="0"/>
        <v>Alta Actividad</v>
      </c>
      <c r="O27" t="str">
        <f t="shared" si="1"/>
        <v>Alto Sedentarismo</v>
      </c>
    </row>
    <row r="28" spans="1:15" x14ac:dyDescent="0.3">
      <c r="A28">
        <v>1503960366</v>
      </c>
      <c r="B28" s="1">
        <v>42587</v>
      </c>
      <c r="C28">
        <v>10060</v>
      </c>
      <c r="D28" s="2">
        <v>657999992370605</v>
      </c>
      <c r="E28" s="2">
        <v>352999997138977</v>
      </c>
      <c r="F28" t="s">
        <v>48</v>
      </c>
      <c r="G28" s="2">
        <v>273000001907349</v>
      </c>
      <c r="H28">
        <v>0</v>
      </c>
      <c r="I28">
        <v>44</v>
      </c>
      <c r="J28">
        <v>8</v>
      </c>
      <c r="K28">
        <v>203</v>
      </c>
      <c r="L28">
        <v>574</v>
      </c>
      <c r="M28">
        <v>1740</v>
      </c>
      <c r="N28" t="str">
        <f t="shared" si="0"/>
        <v>Alta Actividad</v>
      </c>
      <c r="O28" t="str">
        <f t="shared" si="1"/>
        <v>Bajo Sedentarismo</v>
      </c>
    </row>
    <row r="29" spans="1:15" x14ac:dyDescent="0.3">
      <c r="A29">
        <v>1503960366</v>
      </c>
      <c r="B29" s="1">
        <v>42618</v>
      </c>
      <c r="C29">
        <v>12022</v>
      </c>
      <c r="D29" s="2">
        <v>771999979019165</v>
      </c>
      <c r="E29" s="2">
        <v>345000004768372</v>
      </c>
      <c r="F29" t="s">
        <v>49</v>
      </c>
      <c r="G29" s="2">
        <v>374000000953674</v>
      </c>
      <c r="H29">
        <v>0</v>
      </c>
      <c r="I29">
        <v>46</v>
      </c>
      <c r="J29">
        <v>11</v>
      </c>
      <c r="K29">
        <v>206</v>
      </c>
      <c r="L29">
        <v>835</v>
      </c>
      <c r="M29">
        <v>1819</v>
      </c>
      <c r="N29" t="str">
        <f t="shared" si="0"/>
        <v>Alta Actividad</v>
      </c>
      <c r="O29" t="str">
        <f t="shared" si="1"/>
        <v>Alto Sedentarismo</v>
      </c>
    </row>
    <row r="30" spans="1:15" x14ac:dyDescent="0.3">
      <c r="A30">
        <v>1503960366</v>
      </c>
      <c r="B30" s="1">
        <v>42648</v>
      </c>
      <c r="C30">
        <v>12207</v>
      </c>
      <c r="D30" s="2">
        <v>776999998092651</v>
      </c>
      <c r="E30" s="2">
        <v>334999990463257</v>
      </c>
      <c r="F30" s="2">
        <v>11599999666214</v>
      </c>
      <c r="G30" s="2">
        <v>325999999046326</v>
      </c>
      <c r="H30">
        <v>0</v>
      </c>
      <c r="I30">
        <v>46</v>
      </c>
      <c r="J30">
        <v>31</v>
      </c>
      <c r="K30">
        <v>214</v>
      </c>
      <c r="L30">
        <v>746</v>
      </c>
      <c r="M30">
        <v>1859</v>
      </c>
      <c r="N30" t="str">
        <f t="shared" si="0"/>
        <v>Alta Actividad</v>
      </c>
      <c r="O30" t="str">
        <f t="shared" si="1"/>
        <v>Alto Sedentarismo</v>
      </c>
    </row>
    <row r="31" spans="1:15" x14ac:dyDescent="0.3">
      <c r="A31">
        <v>1503960366</v>
      </c>
      <c r="B31" s="1">
        <v>42679</v>
      </c>
      <c r="C31">
        <v>12770</v>
      </c>
      <c r="D31" s="2">
        <v>813000011444092</v>
      </c>
      <c r="E31" s="2">
        <v>255999994277954</v>
      </c>
      <c r="F31" s="2">
        <v>100999999046326</v>
      </c>
      <c r="G31" s="2">
        <v>455000019073486</v>
      </c>
      <c r="H31">
        <v>0</v>
      </c>
      <c r="I31">
        <v>36</v>
      </c>
      <c r="J31">
        <v>23</v>
      </c>
      <c r="K31">
        <v>251</v>
      </c>
      <c r="L31">
        <v>669</v>
      </c>
      <c r="M31">
        <v>1783</v>
      </c>
      <c r="N31" t="str">
        <f t="shared" si="0"/>
        <v>Alta Actividad</v>
      </c>
      <c r="O31" t="str">
        <f t="shared" si="1"/>
        <v>Bajo Sedentarismo</v>
      </c>
    </row>
    <row r="32" spans="1:15" x14ac:dyDescent="0.3">
      <c r="A32">
        <v>1503960366</v>
      </c>
      <c r="B32" s="1">
        <v>42709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1440</v>
      </c>
      <c r="M32">
        <v>0</v>
      </c>
      <c r="N32" t="str">
        <f t="shared" si="0"/>
        <v>Baja Actividad</v>
      </c>
      <c r="O32" t="str">
        <f t="shared" si="1"/>
        <v>Alto Sedentarismo</v>
      </c>
    </row>
    <row r="33" spans="1:15" x14ac:dyDescent="0.3">
      <c r="A33">
        <v>1624580081</v>
      </c>
      <c r="B33" s="1">
        <v>42708</v>
      </c>
      <c r="C33">
        <v>8163</v>
      </c>
      <c r="D33" s="2">
        <v>530999994277954</v>
      </c>
      <c r="E33">
        <v>0</v>
      </c>
      <c r="F33">
        <v>0</v>
      </c>
      <c r="G33" s="2">
        <v>530999994277954</v>
      </c>
      <c r="H33">
        <v>0</v>
      </c>
      <c r="I33">
        <v>0</v>
      </c>
      <c r="J33">
        <v>0</v>
      </c>
      <c r="K33">
        <v>146</v>
      </c>
      <c r="L33">
        <v>1294</v>
      </c>
      <c r="M33">
        <v>1432</v>
      </c>
      <c r="N33" t="str">
        <f t="shared" si="0"/>
        <v>Baja Actividad</v>
      </c>
      <c r="O33" t="str">
        <f t="shared" si="1"/>
        <v>Alto Sedentarismo</v>
      </c>
    </row>
    <row r="34" spans="1:15" x14ac:dyDescent="0.3">
      <c r="A34">
        <v>1624580081</v>
      </c>
      <c r="B34" t="s">
        <v>15</v>
      </c>
      <c r="C34">
        <v>7007</v>
      </c>
      <c r="D34" s="2">
        <v>455000019073486</v>
      </c>
      <c r="E34">
        <v>0</v>
      </c>
      <c r="F34">
        <v>0</v>
      </c>
      <c r="G34" s="2">
        <v>455000019073486</v>
      </c>
      <c r="H34">
        <v>0</v>
      </c>
      <c r="I34">
        <v>0</v>
      </c>
      <c r="J34">
        <v>0</v>
      </c>
      <c r="K34">
        <v>148</v>
      </c>
      <c r="L34">
        <v>1292</v>
      </c>
      <c r="M34">
        <v>1411</v>
      </c>
      <c r="N34" t="str">
        <f t="shared" si="0"/>
        <v>Baja Actividad</v>
      </c>
      <c r="O34" t="str">
        <f t="shared" si="1"/>
        <v>Alto Sedentarismo</v>
      </c>
    </row>
    <row r="35" spans="1:15" x14ac:dyDescent="0.3">
      <c r="A35">
        <v>1624580081</v>
      </c>
      <c r="B35" t="s">
        <v>17</v>
      </c>
      <c r="C35">
        <v>9107</v>
      </c>
      <c r="D35" s="2">
        <v>592000007629395</v>
      </c>
      <c r="E35">
        <v>0</v>
      </c>
      <c r="F35">
        <v>0</v>
      </c>
      <c r="G35" s="2">
        <v>590999984741211</v>
      </c>
      <c r="H35" t="s">
        <v>50</v>
      </c>
      <c r="I35">
        <v>0</v>
      </c>
      <c r="J35">
        <v>0</v>
      </c>
      <c r="K35">
        <v>236</v>
      </c>
      <c r="L35">
        <v>1204</v>
      </c>
      <c r="M35">
        <v>1572</v>
      </c>
      <c r="N35" t="str">
        <f t="shared" si="0"/>
        <v>Baja Actividad</v>
      </c>
      <c r="O35" t="str">
        <f t="shared" si="1"/>
        <v>Alto Sedentarismo</v>
      </c>
    </row>
    <row r="36" spans="1:15" x14ac:dyDescent="0.3">
      <c r="A36">
        <v>1624580081</v>
      </c>
      <c r="B36" t="s">
        <v>19</v>
      </c>
      <c r="C36">
        <v>1510</v>
      </c>
      <c r="D36" t="s">
        <v>51</v>
      </c>
      <c r="E36">
        <v>0</v>
      </c>
      <c r="F36">
        <v>0</v>
      </c>
      <c r="G36" t="s">
        <v>52</v>
      </c>
      <c r="H36">
        <v>0</v>
      </c>
      <c r="I36">
        <v>0</v>
      </c>
      <c r="J36">
        <v>0</v>
      </c>
      <c r="K36">
        <v>96</v>
      </c>
      <c r="L36">
        <v>1344</v>
      </c>
      <c r="M36">
        <v>1344</v>
      </c>
      <c r="N36" t="str">
        <f t="shared" si="0"/>
        <v>Baja Actividad</v>
      </c>
      <c r="O36" t="str">
        <f t="shared" si="1"/>
        <v>Alto Sedentarismo</v>
      </c>
    </row>
    <row r="37" spans="1:15" x14ac:dyDescent="0.3">
      <c r="A37">
        <v>1624580081</v>
      </c>
      <c r="B37" t="s">
        <v>20</v>
      </c>
      <c r="C37">
        <v>5370</v>
      </c>
      <c r="D37" s="2">
        <v>349000000953674</v>
      </c>
      <c r="E37">
        <v>0</v>
      </c>
      <c r="F37">
        <v>0</v>
      </c>
      <c r="G37" s="2">
        <v>349000000953674</v>
      </c>
      <c r="H37">
        <v>0</v>
      </c>
      <c r="I37">
        <v>0</v>
      </c>
      <c r="J37">
        <v>0</v>
      </c>
      <c r="K37">
        <v>176</v>
      </c>
      <c r="L37">
        <v>1264</v>
      </c>
      <c r="M37">
        <v>1463</v>
      </c>
      <c r="N37" t="str">
        <f t="shared" si="0"/>
        <v>Baja Actividad</v>
      </c>
      <c r="O37" t="str">
        <f t="shared" si="1"/>
        <v>Alto Sedentarismo</v>
      </c>
    </row>
    <row r="38" spans="1:15" x14ac:dyDescent="0.3">
      <c r="A38">
        <v>1624580081</v>
      </c>
      <c r="B38" t="s">
        <v>22</v>
      </c>
      <c r="C38">
        <v>6175</v>
      </c>
      <c r="D38" s="2">
        <v>405999994277954</v>
      </c>
      <c r="E38" s="2">
        <v>102999997138977</v>
      </c>
      <c r="F38" s="2">
        <v>151999998092651</v>
      </c>
      <c r="G38" s="2">
        <v>149000000953674</v>
      </c>
      <c r="H38" t="s">
        <v>50</v>
      </c>
      <c r="I38">
        <v>15</v>
      </c>
      <c r="J38">
        <v>22</v>
      </c>
      <c r="K38">
        <v>127</v>
      </c>
      <c r="L38">
        <v>1276</v>
      </c>
      <c r="M38">
        <v>1554</v>
      </c>
      <c r="N38" t="str">
        <f t="shared" si="0"/>
        <v>Baja Actividad</v>
      </c>
      <c r="O38" t="str">
        <f t="shared" si="1"/>
        <v>Alto Sedentarismo</v>
      </c>
    </row>
    <row r="39" spans="1:15" x14ac:dyDescent="0.3">
      <c r="A39">
        <v>1624580081</v>
      </c>
      <c r="B39" t="s">
        <v>24</v>
      </c>
      <c r="C39">
        <v>10536</v>
      </c>
      <c r="D39" s="2">
        <v>740999984741211</v>
      </c>
      <c r="E39" s="2">
        <v>215000009536743</v>
      </c>
      <c r="F39" t="s">
        <v>53</v>
      </c>
      <c r="G39" s="2">
        <v>461999988555908</v>
      </c>
      <c r="H39" t="s">
        <v>50</v>
      </c>
      <c r="I39">
        <v>17</v>
      </c>
      <c r="J39">
        <v>7</v>
      </c>
      <c r="K39">
        <v>202</v>
      </c>
      <c r="L39">
        <v>1214</v>
      </c>
      <c r="M39">
        <v>1604</v>
      </c>
      <c r="N39" t="str">
        <f t="shared" si="0"/>
        <v>Alta Actividad</v>
      </c>
      <c r="O39" t="str">
        <f t="shared" si="1"/>
        <v>Alto Sedentarismo</v>
      </c>
    </row>
    <row r="40" spans="1:15" x14ac:dyDescent="0.3">
      <c r="A40">
        <v>1624580081</v>
      </c>
      <c r="B40" t="s">
        <v>27</v>
      </c>
      <c r="C40">
        <v>2916</v>
      </c>
      <c r="D40" s="2">
        <v>189999997615814</v>
      </c>
      <c r="E40">
        <v>0</v>
      </c>
      <c r="F40">
        <v>0</v>
      </c>
      <c r="G40" s="2">
        <v>189999997615814</v>
      </c>
      <c r="H40">
        <v>0</v>
      </c>
      <c r="I40">
        <v>0</v>
      </c>
      <c r="J40">
        <v>0</v>
      </c>
      <c r="K40">
        <v>141</v>
      </c>
      <c r="L40">
        <v>1299</v>
      </c>
      <c r="M40">
        <v>1435</v>
      </c>
      <c r="N40" t="str">
        <f t="shared" si="0"/>
        <v>Baja Actividad</v>
      </c>
      <c r="O40" t="str">
        <f t="shared" si="1"/>
        <v>Alto Sedentarismo</v>
      </c>
    </row>
    <row r="41" spans="1:15" x14ac:dyDescent="0.3">
      <c r="A41">
        <v>1624580081</v>
      </c>
      <c r="B41" t="s">
        <v>28</v>
      </c>
      <c r="C41">
        <v>4974</v>
      </c>
      <c r="D41" s="2">
        <v>323000001907349</v>
      </c>
      <c r="E41">
        <v>0</v>
      </c>
      <c r="F41">
        <v>0</v>
      </c>
      <c r="G41" s="2">
        <v>323000001907349</v>
      </c>
      <c r="H41">
        <v>0</v>
      </c>
      <c r="I41">
        <v>0</v>
      </c>
      <c r="J41">
        <v>0</v>
      </c>
      <c r="K41">
        <v>151</v>
      </c>
      <c r="L41">
        <v>1289</v>
      </c>
      <c r="M41">
        <v>1446</v>
      </c>
      <c r="N41" t="str">
        <f t="shared" si="0"/>
        <v>Baja Actividad</v>
      </c>
      <c r="O41" t="str">
        <f t="shared" si="1"/>
        <v>Alto Sedentarismo</v>
      </c>
    </row>
    <row r="42" spans="1:15" x14ac:dyDescent="0.3">
      <c r="A42">
        <v>1624580081</v>
      </c>
      <c r="B42" t="s">
        <v>30</v>
      </c>
      <c r="C42">
        <v>6349</v>
      </c>
      <c r="D42" s="2">
        <v>413000011444092</v>
      </c>
      <c r="E42">
        <v>0</v>
      </c>
      <c r="F42">
        <v>0</v>
      </c>
      <c r="G42" s="2">
        <v>41100001335144</v>
      </c>
      <c r="H42" t="s">
        <v>54</v>
      </c>
      <c r="I42">
        <v>0</v>
      </c>
      <c r="J42">
        <v>0</v>
      </c>
      <c r="K42">
        <v>186</v>
      </c>
      <c r="L42">
        <v>1254</v>
      </c>
      <c r="M42">
        <v>1467</v>
      </c>
      <c r="N42" t="str">
        <f t="shared" si="0"/>
        <v>Baja Actividad</v>
      </c>
      <c r="O42" t="str">
        <f t="shared" si="1"/>
        <v>Alto Sedentarismo</v>
      </c>
    </row>
    <row r="43" spans="1:15" x14ac:dyDescent="0.3">
      <c r="A43">
        <v>1624580081</v>
      </c>
      <c r="B43" t="s">
        <v>32</v>
      </c>
      <c r="C43">
        <v>4026</v>
      </c>
      <c r="D43" s="2">
        <v>261999988555908</v>
      </c>
      <c r="E43">
        <v>0</v>
      </c>
      <c r="F43">
        <v>0</v>
      </c>
      <c r="G43" s="2">
        <v>259999990463257</v>
      </c>
      <c r="H43">
        <v>0</v>
      </c>
      <c r="I43">
        <v>0</v>
      </c>
      <c r="J43">
        <v>0</v>
      </c>
      <c r="K43">
        <v>199</v>
      </c>
      <c r="L43">
        <v>1241</v>
      </c>
      <c r="M43">
        <v>1470</v>
      </c>
      <c r="N43" t="str">
        <f t="shared" si="0"/>
        <v>Baja Actividad</v>
      </c>
      <c r="O43" t="str">
        <f t="shared" si="1"/>
        <v>Alto Sedentarismo</v>
      </c>
    </row>
    <row r="44" spans="1:15" x14ac:dyDescent="0.3">
      <c r="A44">
        <v>1624580081</v>
      </c>
      <c r="B44" t="s">
        <v>33</v>
      </c>
      <c r="C44">
        <v>8538</v>
      </c>
      <c r="D44" s="2">
        <v>555000019073486</v>
      </c>
      <c r="E44">
        <v>0</v>
      </c>
      <c r="F44">
        <v>0</v>
      </c>
      <c r="G44" s="2">
        <v>553999996185303</v>
      </c>
      <c r="H44" t="s">
        <v>50</v>
      </c>
      <c r="I44">
        <v>0</v>
      </c>
      <c r="J44">
        <v>0</v>
      </c>
      <c r="K44">
        <v>227</v>
      </c>
      <c r="L44">
        <v>1213</v>
      </c>
      <c r="M44">
        <v>1562</v>
      </c>
      <c r="N44" t="str">
        <f t="shared" si="0"/>
        <v>Baja Actividad</v>
      </c>
      <c r="O44" t="str">
        <f t="shared" si="1"/>
        <v>Alto Sedentarismo</v>
      </c>
    </row>
    <row r="45" spans="1:15" x14ac:dyDescent="0.3">
      <c r="A45">
        <v>1624580081</v>
      </c>
      <c r="B45" t="s">
        <v>35</v>
      </c>
      <c r="C45">
        <v>6076</v>
      </c>
      <c r="D45" s="2">
        <v>395000004768372</v>
      </c>
      <c r="E45" s="2">
        <v>114999997615814</v>
      </c>
      <c r="F45" t="s">
        <v>55</v>
      </c>
      <c r="G45" s="2">
        <v>188999998569489</v>
      </c>
      <c r="H45">
        <v>0</v>
      </c>
      <c r="I45">
        <v>16</v>
      </c>
      <c r="J45">
        <v>18</v>
      </c>
      <c r="K45">
        <v>185</v>
      </c>
      <c r="L45">
        <v>1221</v>
      </c>
      <c r="M45">
        <v>1617</v>
      </c>
      <c r="N45" t="str">
        <f t="shared" si="0"/>
        <v>Baja Actividad</v>
      </c>
      <c r="O45" t="str">
        <f t="shared" si="1"/>
        <v>Alto Sedentarismo</v>
      </c>
    </row>
    <row r="46" spans="1:15" x14ac:dyDescent="0.3">
      <c r="A46">
        <v>1624580081</v>
      </c>
      <c r="B46" t="s">
        <v>37</v>
      </c>
      <c r="C46">
        <v>6497</v>
      </c>
      <c r="D46" s="2">
        <v>421999979019165</v>
      </c>
      <c r="E46">
        <v>0</v>
      </c>
      <c r="F46">
        <v>0</v>
      </c>
      <c r="G46" s="2">
        <v>419999980926514</v>
      </c>
      <c r="H46" t="s">
        <v>54</v>
      </c>
      <c r="I46">
        <v>0</v>
      </c>
      <c r="J46">
        <v>0</v>
      </c>
      <c r="K46">
        <v>202</v>
      </c>
      <c r="L46">
        <v>1238</v>
      </c>
      <c r="M46">
        <v>1492</v>
      </c>
      <c r="N46" t="str">
        <f t="shared" si="0"/>
        <v>Baja Actividad</v>
      </c>
      <c r="O46" t="str">
        <f t="shared" si="1"/>
        <v>Alto Sedentarismo</v>
      </c>
    </row>
    <row r="47" spans="1:15" x14ac:dyDescent="0.3">
      <c r="A47">
        <v>1624580081</v>
      </c>
      <c r="B47" t="s">
        <v>39</v>
      </c>
      <c r="C47">
        <v>2826</v>
      </c>
      <c r="D47" s="2">
        <v>18400000333786</v>
      </c>
      <c r="E47">
        <v>0</v>
      </c>
      <c r="F47">
        <v>0</v>
      </c>
      <c r="G47" s="2">
        <v>183000004291534</v>
      </c>
      <c r="H47" t="s">
        <v>50</v>
      </c>
      <c r="I47">
        <v>0</v>
      </c>
      <c r="J47">
        <v>0</v>
      </c>
      <c r="K47">
        <v>140</v>
      </c>
      <c r="L47">
        <v>1300</v>
      </c>
      <c r="M47">
        <v>1402</v>
      </c>
      <c r="N47" t="str">
        <f t="shared" si="0"/>
        <v>Baja Actividad</v>
      </c>
      <c r="O47" t="str">
        <f t="shared" si="1"/>
        <v>Alto Sedentarismo</v>
      </c>
    </row>
    <row r="48" spans="1:15" x14ac:dyDescent="0.3">
      <c r="A48">
        <v>1624580081</v>
      </c>
      <c r="B48" t="s">
        <v>41</v>
      </c>
      <c r="C48">
        <v>8367</v>
      </c>
      <c r="D48" s="2">
        <v>544000005722046</v>
      </c>
      <c r="E48" s="2">
        <v>111000001430511</v>
      </c>
      <c r="F48" s="2">
        <v>187000000476837</v>
      </c>
      <c r="G48" s="2">
        <v>246000003814697</v>
      </c>
      <c r="H48">
        <v>0</v>
      </c>
      <c r="I48">
        <v>17</v>
      </c>
      <c r="J48">
        <v>36</v>
      </c>
      <c r="K48">
        <v>154</v>
      </c>
      <c r="L48">
        <v>1233</v>
      </c>
      <c r="M48">
        <v>1670</v>
      </c>
      <c r="N48" t="str">
        <f t="shared" si="0"/>
        <v>Baja Actividad</v>
      </c>
      <c r="O48" t="str">
        <f t="shared" si="1"/>
        <v>Alto Sedentarismo</v>
      </c>
    </row>
    <row r="49" spans="1:15" x14ac:dyDescent="0.3">
      <c r="A49">
        <v>1624580081</v>
      </c>
      <c r="B49" t="s">
        <v>42</v>
      </c>
      <c r="C49">
        <v>2759</v>
      </c>
      <c r="D49" s="2">
        <v>178999996185303</v>
      </c>
      <c r="E49">
        <v>0</v>
      </c>
      <c r="F49" t="s">
        <v>56</v>
      </c>
      <c r="G49" s="2">
        <v>160000002384186</v>
      </c>
      <c r="H49">
        <v>0</v>
      </c>
      <c r="I49">
        <v>0</v>
      </c>
      <c r="J49">
        <v>5</v>
      </c>
      <c r="K49">
        <v>115</v>
      </c>
      <c r="L49">
        <v>1320</v>
      </c>
      <c r="M49">
        <v>1401</v>
      </c>
      <c r="N49" t="str">
        <f t="shared" si="0"/>
        <v>Baja Actividad</v>
      </c>
      <c r="O49" t="str">
        <f t="shared" si="1"/>
        <v>Alto Sedentarismo</v>
      </c>
    </row>
    <row r="50" spans="1:15" x14ac:dyDescent="0.3">
      <c r="A50">
        <v>1624580081</v>
      </c>
      <c r="B50" t="s">
        <v>43</v>
      </c>
      <c r="C50">
        <v>2390</v>
      </c>
      <c r="D50" s="2">
        <v>154999995231628</v>
      </c>
      <c r="E50">
        <v>0</v>
      </c>
      <c r="F50">
        <v>0</v>
      </c>
      <c r="G50" s="2">
        <v>154999995231628</v>
      </c>
      <c r="H50">
        <v>0</v>
      </c>
      <c r="I50">
        <v>0</v>
      </c>
      <c r="J50">
        <v>0</v>
      </c>
      <c r="K50">
        <v>150</v>
      </c>
      <c r="L50">
        <v>1290</v>
      </c>
      <c r="M50">
        <v>1404</v>
      </c>
      <c r="N50" t="str">
        <f t="shared" si="0"/>
        <v>Baja Actividad</v>
      </c>
      <c r="O50" t="str">
        <f t="shared" si="1"/>
        <v>Alto Sedentarismo</v>
      </c>
    </row>
    <row r="51" spans="1:15" x14ac:dyDescent="0.3">
      <c r="A51">
        <v>1624580081</v>
      </c>
      <c r="B51" t="s">
        <v>45</v>
      </c>
      <c r="C51">
        <v>6474</v>
      </c>
      <c r="D51" s="2">
        <v>430000019073486</v>
      </c>
      <c r="E51" t="s">
        <v>57</v>
      </c>
      <c r="F51" s="2">
        <v>127999997138977</v>
      </c>
      <c r="G51" s="2">
        <v>211999988555908</v>
      </c>
      <c r="H51" t="s">
        <v>50</v>
      </c>
      <c r="I51">
        <v>11</v>
      </c>
      <c r="J51">
        <v>23</v>
      </c>
      <c r="K51">
        <v>224</v>
      </c>
      <c r="L51">
        <v>1182</v>
      </c>
      <c r="M51">
        <v>1655</v>
      </c>
      <c r="N51" t="str">
        <f t="shared" si="0"/>
        <v>Baja Actividad</v>
      </c>
      <c r="O51" t="str">
        <f t="shared" si="1"/>
        <v>Alto Sedentarismo</v>
      </c>
    </row>
    <row r="52" spans="1:15" x14ac:dyDescent="0.3">
      <c r="A52">
        <v>1624580081</v>
      </c>
      <c r="B52" s="1">
        <v>42374</v>
      </c>
      <c r="C52">
        <v>36019</v>
      </c>
      <c r="D52" s="2">
        <v>280300006866455</v>
      </c>
      <c r="E52" s="2">
        <v>219200000762939</v>
      </c>
      <c r="F52" s="2">
        <v>419000005722046</v>
      </c>
      <c r="G52" s="2">
        <v>19099999666214</v>
      </c>
      <c r="H52" t="s">
        <v>54</v>
      </c>
      <c r="I52">
        <v>186</v>
      </c>
      <c r="J52">
        <v>63</v>
      </c>
      <c r="K52">
        <v>171</v>
      </c>
      <c r="L52">
        <v>1020</v>
      </c>
      <c r="M52">
        <v>2690</v>
      </c>
      <c r="N52" t="str">
        <f t="shared" si="0"/>
        <v>Alta Actividad</v>
      </c>
      <c r="O52" t="str">
        <f t="shared" si="1"/>
        <v>Alto Sedentarismo</v>
      </c>
    </row>
    <row r="53" spans="1:15" x14ac:dyDescent="0.3">
      <c r="A53">
        <v>1624580081</v>
      </c>
      <c r="B53" s="1">
        <v>42405</v>
      </c>
      <c r="C53">
        <v>7155</v>
      </c>
      <c r="D53" s="2">
        <v>492999982833862</v>
      </c>
      <c r="E53" t="s">
        <v>58</v>
      </c>
      <c r="F53" t="s">
        <v>59</v>
      </c>
      <c r="G53" s="2">
        <v>347000002861023</v>
      </c>
      <c r="H53">
        <v>0</v>
      </c>
      <c r="I53">
        <v>7</v>
      </c>
      <c r="J53">
        <v>6</v>
      </c>
      <c r="K53">
        <v>166</v>
      </c>
      <c r="L53">
        <v>1261</v>
      </c>
      <c r="M53">
        <v>1497</v>
      </c>
      <c r="N53" t="str">
        <f t="shared" si="0"/>
        <v>Baja Actividad</v>
      </c>
      <c r="O53" t="str">
        <f t="shared" si="1"/>
        <v>Alto Sedentarismo</v>
      </c>
    </row>
    <row r="54" spans="1:15" x14ac:dyDescent="0.3">
      <c r="A54">
        <v>1624580081</v>
      </c>
      <c r="B54" s="1">
        <v>42434</v>
      </c>
      <c r="C54">
        <v>2100</v>
      </c>
      <c r="D54" s="2">
        <v>137000000476837</v>
      </c>
      <c r="E54">
        <v>0</v>
      </c>
      <c r="F54">
        <v>0</v>
      </c>
      <c r="G54" s="2">
        <v>13400000333786</v>
      </c>
      <c r="H54" t="s">
        <v>54</v>
      </c>
      <c r="I54">
        <v>0</v>
      </c>
      <c r="J54">
        <v>0</v>
      </c>
      <c r="K54">
        <v>96</v>
      </c>
      <c r="L54">
        <v>1344</v>
      </c>
      <c r="M54">
        <v>1334</v>
      </c>
      <c r="N54" t="str">
        <f t="shared" si="0"/>
        <v>Baja Actividad</v>
      </c>
      <c r="O54" t="str">
        <f t="shared" si="1"/>
        <v>Alto Sedentarismo</v>
      </c>
    </row>
    <row r="55" spans="1:15" x14ac:dyDescent="0.3">
      <c r="A55">
        <v>1624580081</v>
      </c>
      <c r="B55" s="1">
        <v>42465</v>
      </c>
      <c r="C55">
        <v>2193</v>
      </c>
      <c r="D55" s="2">
        <v>142999994754791</v>
      </c>
      <c r="E55">
        <v>0</v>
      </c>
      <c r="F55">
        <v>0</v>
      </c>
      <c r="G55" s="2">
        <v>141999995708466</v>
      </c>
      <c r="H55">
        <v>0</v>
      </c>
      <c r="I55">
        <v>0</v>
      </c>
      <c r="J55">
        <v>0</v>
      </c>
      <c r="K55">
        <v>118</v>
      </c>
      <c r="L55">
        <v>1322</v>
      </c>
      <c r="M55">
        <v>1368</v>
      </c>
      <c r="N55" t="str">
        <f t="shared" si="0"/>
        <v>Baja Actividad</v>
      </c>
      <c r="O55" t="str">
        <f t="shared" si="1"/>
        <v>Alto Sedentarismo</v>
      </c>
    </row>
    <row r="56" spans="1:15" x14ac:dyDescent="0.3">
      <c r="A56">
        <v>1624580081</v>
      </c>
      <c r="B56" s="1">
        <v>42495</v>
      </c>
      <c r="C56">
        <v>2470</v>
      </c>
      <c r="D56" s="2">
        <v>161000001430511</v>
      </c>
      <c r="E56">
        <v>0</v>
      </c>
      <c r="F56">
        <v>0</v>
      </c>
      <c r="G56" s="2">
        <v>158000004291534</v>
      </c>
      <c r="H56" t="s">
        <v>54</v>
      </c>
      <c r="I56">
        <v>0</v>
      </c>
      <c r="J56">
        <v>0</v>
      </c>
      <c r="K56">
        <v>117</v>
      </c>
      <c r="L56">
        <v>1323</v>
      </c>
      <c r="M56">
        <v>1370</v>
      </c>
      <c r="N56" t="str">
        <f t="shared" si="0"/>
        <v>Baja Actividad</v>
      </c>
      <c r="O56" t="str">
        <f t="shared" si="1"/>
        <v>Alto Sedentarismo</v>
      </c>
    </row>
    <row r="57" spans="1:15" x14ac:dyDescent="0.3">
      <c r="A57">
        <v>1624580081</v>
      </c>
      <c r="B57" s="1">
        <v>42526</v>
      </c>
      <c r="C57">
        <v>1727</v>
      </c>
      <c r="D57" s="2">
        <v>112000000476837</v>
      </c>
      <c r="E57">
        <v>0</v>
      </c>
      <c r="F57">
        <v>0</v>
      </c>
      <c r="G57" s="2">
        <v>112000000476837</v>
      </c>
      <c r="H57" t="s">
        <v>50</v>
      </c>
      <c r="I57">
        <v>0</v>
      </c>
      <c r="J57">
        <v>0</v>
      </c>
      <c r="K57">
        <v>102</v>
      </c>
      <c r="L57">
        <v>1338</v>
      </c>
      <c r="M57">
        <v>1341</v>
      </c>
      <c r="N57" t="str">
        <f t="shared" si="0"/>
        <v>Baja Actividad</v>
      </c>
      <c r="O57" t="str">
        <f t="shared" si="1"/>
        <v>Alto Sedentarismo</v>
      </c>
    </row>
    <row r="58" spans="1:15" x14ac:dyDescent="0.3">
      <c r="A58">
        <v>1624580081</v>
      </c>
      <c r="B58" s="1">
        <v>42556</v>
      </c>
      <c r="C58">
        <v>2104</v>
      </c>
      <c r="D58" s="2">
        <v>137000000476837</v>
      </c>
      <c r="E58">
        <v>0</v>
      </c>
      <c r="F58">
        <v>0</v>
      </c>
      <c r="G58" s="2">
        <v>137000000476837</v>
      </c>
      <c r="H58">
        <v>0</v>
      </c>
      <c r="I58">
        <v>0</v>
      </c>
      <c r="J58">
        <v>0</v>
      </c>
      <c r="K58">
        <v>182</v>
      </c>
      <c r="L58">
        <v>1258</v>
      </c>
      <c r="M58">
        <v>1474</v>
      </c>
      <c r="N58" t="str">
        <f t="shared" si="0"/>
        <v>Baja Actividad</v>
      </c>
      <c r="O58" t="str">
        <f t="shared" si="1"/>
        <v>Alto Sedentarismo</v>
      </c>
    </row>
    <row r="59" spans="1:15" x14ac:dyDescent="0.3">
      <c r="A59">
        <v>1624580081</v>
      </c>
      <c r="B59" s="1">
        <v>42587</v>
      </c>
      <c r="C59">
        <v>3427</v>
      </c>
      <c r="D59" s="2">
        <v>223000001907349</v>
      </c>
      <c r="E59">
        <v>0</v>
      </c>
      <c r="F59">
        <v>0</v>
      </c>
      <c r="G59" s="2">
        <v>222000002861023</v>
      </c>
      <c r="H59">
        <v>0</v>
      </c>
      <c r="I59">
        <v>0</v>
      </c>
      <c r="J59">
        <v>0</v>
      </c>
      <c r="K59">
        <v>152</v>
      </c>
      <c r="L59">
        <v>1288</v>
      </c>
      <c r="M59">
        <v>1427</v>
      </c>
      <c r="N59" t="str">
        <f t="shared" si="0"/>
        <v>Baja Actividad</v>
      </c>
      <c r="O59" t="str">
        <f t="shared" si="1"/>
        <v>Alto Sedentarismo</v>
      </c>
    </row>
    <row r="60" spans="1:15" x14ac:dyDescent="0.3">
      <c r="A60">
        <v>1624580081</v>
      </c>
      <c r="B60" s="1">
        <v>42618</v>
      </c>
      <c r="C60">
        <v>1732</v>
      </c>
      <c r="D60" s="2">
        <v>112999999523163</v>
      </c>
      <c r="E60">
        <v>0</v>
      </c>
      <c r="F60">
        <v>0</v>
      </c>
      <c r="G60" s="2">
        <v>112999999523163</v>
      </c>
      <c r="H60">
        <v>0</v>
      </c>
      <c r="I60">
        <v>0</v>
      </c>
      <c r="J60">
        <v>0</v>
      </c>
      <c r="K60">
        <v>91</v>
      </c>
      <c r="L60">
        <v>1349</v>
      </c>
      <c r="M60">
        <v>1328</v>
      </c>
      <c r="N60" t="str">
        <f t="shared" si="0"/>
        <v>Baja Actividad</v>
      </c>
      <c r="O60" t="str">
        <f t="shared" si="1"/>
        <v>Alto Sedentarismo</v>
      </c>
    </row>
    <row r="61" spans="1:15" x14ac:dyDescent="0.3">
      <c r="A61">
        <v>1624580081</v>
      </c>
      <c r="B61" s="1">
        <v>42648</v>
      </c>
      <c r="C61">
        <v>2969</v>
      </c>
      <c r="D61" s="2">
        <v>192999994754791</v>
      </c>
      <c r="E61">
        <v>0</v>
      </c>
      <c r="F61">
        <v>0</v>
      </c>
      <c r="G61" s="2">
        <v>191999995708466</v>
      </c>
      <c r="H61" t="s">
        <v>50</v>
      </c>
      <c r="I61">
        <v>0</v>
      </c>
      <c r="J61">
        <v>0</v>
      </c>
      <c r="K61">
        <v>139</v>
      </c>
      <c r="L61">
        <v>1301</v>
      </c>
      <c r="M61">
        <v>1393</v>
      </c>
      <c r="N61" t="str">
        <f t="shared" si="0"/>
        <v>Baja Actividad</v>
      </c>
      <c r="O61" t="str">
        <f t="shared" si="1"/>
        <v>Alto Sedentarismo</v>
      </c>
    </row>
    <row r="62" spans="1:15" x14ac:dyDescent="0.3">
      <c r="A62">
        <v>1624580081</v>
      </c>
      <c r="B62" s="1">
        <v>42679</v>
      </c>
      <c r="C62">
        <v>3134</v>
      </c>
      <c r="D62" s="2">
        <v>203999996185303</v>
      </c>
      <c r="E62">
        <v>0</v>
      </c>
      <c r="F62">
        <v>0</v>
      </c>
      <c r="G62" s="2">
        <v>203999996185303</v>
      </c>
      <c r="H62">
        <v>0</v>
      </c>
      <c r="I62">
        <v>0</v>
      </c>
      <c r="J62">
        <v>0</v>
      </c>
      <c r="K62">
        <v>112</v>
      </c>
      <c r="L62">
        <v>1328</v>
      </c>
      <c r="M62">
        <v>1359</v>
      </c>
      <c r="N62" t="str">
        <f t="shared" si="0"/>
        <v>Baja Actividad</v>
      </c>
      <c r="O62" t="str">
        <f t="shared" si="1"/>
        <v>Alto Sedentarismo</v>
      </c>
    </row>
    <row r="63" spans="1:15" x14ac:dyDescent="0.3">
      <c r="A63">
        <v>1624580081</v>
      </c>
      <c r="B63" s="1">
        <v>42709</v>
      </c>
      <c r="C63">
        <v>2971</v>
      </c>
      <c r="D63" s="2">
        <v>192999994754791</v>
      </c>
      <c r="E63">
        <v>0</v>
      </c>
      <c r="F63">
        <v>0</v>
      </c>
      <c r="G63" s="2">
        <v>191999995708466</v>
      </c>
      <c r="H63" t="s">
        <v>50</v>
      </c>
      <c r="I63">
        <v>0</v>
      </c>
      <c r="J63">
        <v>0</v>
      </c>
      <c r="K63">
        <v>107</v>
      </c>
      <c r="L63">
        <v>890</v>
      </c>
      <c r="M63">
        <v>1002</v>
      </c>
      <c r="N63" t="str">
        <f t="shared" si="0"/>
        <v>Baja Actividad</v>
      </c>
      <c r="O63" t="str">
        <f t="shared" si="1"/>
        <v>Alto Sedentarismo</v>
      </c>
    </row>
    <row r="64" spans="1:15" x14ac:dyDescent="0.3">
      <c r="A64">
        <v>1644430081</v>
      </c>
      <c r="B64" s="1">
        <v>42708</v>
      </c>
      <c r="C64">
        <v>10694</v>
      </c>
      <c r="D64" s="2">
        <v>776999998092651</v>
      </c>
      <c r="E64" t="s">
        <v>60</v>
      </c>
      <c r="F64" s="2">
        <v>229999995231628</v>
      </c>
      <c r="G64" s="2">
        <v>532999992370605</v>
      </c>
      <c r="H64">
        <v>0</v>
      </c>
      <c r="I64">
        <v>2</v>
      </c>
      <c r="J64">
        <v>51</v>
      </c>
      <c r="K64">
        <v>256</v>
      </c>
      <c r="L64">
        <v>1131</v>
      </c>
      <c r="M64">
        <v>3199</v>
      </c>
      <c r="N64" t="str">
        <f t="shared" si="0"/>
        <v>Alta Actividad</v>
      </c>
      <c r="O64" t="str">
        <f t="shared" si="1"/>
        <v>Alto Sedentarismo</v>
      </c>
    </row>
    <row r="65" spans="1:15" x14ac:dyDescent="0.3">
      <c r="A65">
        <v>1644430081</v>
      </c>
      <c r="B65" t="s">
        <v>15</v>
      </c>
      <c r="C65">
        <v>8001</v>
      </c>
      <c r="D65" s="2">
        <v>582000017166138</v>
      </c>
      <c r="E65" s="2">
        <v>227999997138977</v>
      </c>
      <c r="F65" t="s">
        <v>57</v>
      </c>
      <c r="G65" s="2">
        <v>264000010490417</v>
      </c>
      <c r="H65">
        <v>0</v>
      </c>
      <c r="I65">
        <v>30</v>
      </c>
      <c r="J65">
        <v>16</v>
      </c>
      <c r="K65">
        <v>135</v>
      </c>
      <c r="L65">
        <v>1259</v>
      </c>
      <c r="M65">
        <v>2902</v>
      </c>
      <c r="N65" t="str">
        <f t="shared" si="0"/>
        <v>Baja Actividad</v>
      </c>
      <c r="O65" t="str">
        <f t="shared" si="1"/>
        <v>Alto Sedentarismo</v>
      </c>
    </row>
    <row r="66" spans="1:15" x14ac:dyDescent="0.3">
      <c r="A66">
        <v>1644430081</v>
      </c>
      <c r="B66" t="s">
        <v>17</v>
      </c>
      <c r="C66">
        <v>11037</v>
      </c>
      <c r="D66" s="2">
        <v>802000045776367</v>
      </c>
      <c r="E66" t="s">
        <v>61</v>
      </c>
      <c r="F66" s="2">
        <v>255999994277954</v>
      </c>
      <c r="G66" s="2">
        <v>509999990463257</v>
      </c>
      <c r="H66">
        <v>0</v>
      </c>
      <c r="I66">
        <v>5</v>
      </c>
      <c r="J66">
        <v>58</v>
      </c>
      <c r="K66">
        <v>252</v>
      </c>
      <c r="L66">
        <v>1125</v>
      </c>
      <c r="M66">
        <v>3226</v>
      </c>
      <c r="N66" t="str">
        <f t="shared" si="0"/>
        <v>Alta Actividad</v>
      </c>
      <c r="O66" t="str">
        <f t="shared" si="1"/>
        <v>Alto Sedentarismo</v>
      </c>
    </row>
    <row r="67" spans="1:15" x14ac:dyDescent="0.3">
      <c r="A67">
        <v>1644430081</v>
      </c>
      <c r="B67" t="s">
        <v>19</v>
      </c>
      <c r="C67">
        <v>5263</v>
      </c>
      <c r="D67" s="2">
        <v>382999992370605</v>
      </c>
      <c r="E67" t="s">
        <v>62</v>
      </c>
      <c r="F67" t="s">
        <v>63</v>
      </c>
      <c r="G67" s="2">
        <v>345000004768372</v>
      </c>
      <c r="H67">
        <v>0</v>
      </c>
      <c r="I67">
        <v>3</v>
      </c>
      <c r="J67">
        <v>4</v>
      </c>
      <c r="K67">
        <v>170</v>
      </c>
      <c r="L67">
        <v>1263</v>
      </c>
      <c r="M67">
        <v>2750</v>
      </c>
      <c r="N67" t="str">
        <f t="shared" ref="N67:N130" si="2">IF(C67&gt;=10000, "Alta Actividad", "Baja Actividad")</f>
        <v>Baja Actividad</v>
      </c>
      <c r="O67" t="str">
        <f t="shared" ref="O67:O130" si="3">IF(L67&gt;=700, "Alto Sedentarismo",  "Bajo Sedentarismo")</f>
        <v>Alto Sedentarismo</v>
      </c>
    </row>
    <row r="68" spans="1:15" x14ac:dyDescent="0.3">
      <c r="A68">
        <v>1644430081</v>
      </c>
      <c r="B68" t="s">
        <v>20</v>
      </c>
      <c r="C68">
        <v>15300</v>
      </c>
      <c r="D68" s="2">
        <v>111199998855591</v>
      </c>
      <c r="E68" s="2">
        <v>409999990463257</v>
      </c>
      <c r="F68" s="2">
        <v>187999999523163</v>
      </c>
      <c r="G68" s="2">
        <v>509000015258789</v>
      </c>
      <c r="H68">
        <v>0</v>
      </c>
      <c r="I68">
        <v>51</v>
      </c>
      <c r="J68">
        <v>42</v>
      </c>
      <c r="K68">
        <v>212</v>
      </c>
      <c r="L68">
        <v>1135</v>
      </c>
      <c r="M68">
        <v>3493</v>
      </c>
      <c r="N68" t="str">
        <f t="shared" si="2"/>
        <v>Alta Actividad</v>
      </c>
      <c r="O68" t="str">
        <f t="shared" si="3"/>
        <v>Alto Sedentarismo</v>
      </c>
    </row>
    <row r="69" spans="1:15" x14ac:dyDescent="0.3">
      <c r="A69">
        <v>1644430081</v>
      </c>
      <c r="B69" t="s">
        <v>22</v>
      </c>
      <c r="C69">
        <v>8757</v>
      </c>
      <c r="D69" s="2">
        <v>636999988555908</v>
      </c>
      <c r="E69" t="s">
        <v>64</v>
      </c>
      <c r="F69" t="s">
        <v>38</v>
      </c>
      <c r="G69" s="2">
        <v>354999995231628</v>
      </c>
      <c r="H69">
        <v>0</v>
      </c>
      <c r="I69">
        <v>29</v>
      </c>
      <c r="J69">
        <v>13</v>
      </c>
      <c r="K69">
        <v>186</v>
      </c>
      <c r="L69">
        <v>1212</v>
      </c>
      <c r="M69">
        <v>3011</v>
      </c>
      <c r="N69" t="str">
        <f t="shared" si="2"/>
        <v>Baja Actividad</v>
      </c>
      <c r="O69" t="str">
        <f t="shared" si="3"/>
        <v>Alto Sedentarismo</v>
      </c>
    </row>
    <row r="70" spans="1:15" x14ac:dyDescent="0.3">
      <c r="A70">
        <v>1644430081</v>
      </c>
      <c r="B70" t="s">
        <v>24</v>
      </c>
      <c r="C70">
        <v>7132</v>
      </c>
      <c r="D70" s="2">
        <v>519000005722046</v>
      </c>
      <c r="E70" s="2">
        <v>107000005245209</v>
      </c>
      <c r="F70" s="2">
        <v>166999995708466</v>
      </c>
      <c r="G70" s="2">
        <v>245000004768372</v>
      </c>
      <c r="H70">
        <v>0</v>
      </c>
      <c r="I70">
        <v>15</v>
      </c>
      <c r="J70">
        <v>33</v>
      </c>
      <c r="K70">
        <v>121</v>
      </c>
      <c r="L70">
        <v>1271</v>
      </c>
      <c r="M70">
        <v>2806</v>
      </c>
      <c r="N70" t="str">
        <f t="shared" si="2"/>
        <v>Baja Actividad</v>
      </c>
      <c r="O70" t="str">
        <f t="shared" si="3"/>
        <v>Alto Sedentarismo</v>
      </c>
    </row>
    <row r="71" spans="1:15" x14ac:dyDescent="0.3">
      <c r="A71">
        <v>1644430081</v>
      </c>
      <c r="B71" t="s">
        <v>27</v>
      </c>
      <c r="C71">
        <v>11256</v>
      </c>
      <c r="D71" s="2">
        <v>818000030517578</v>
      </c>
      <c r="E71" t="s">
        <v>61</v>
      </c>
      <c r="F71" s="2">
        <v>252999997138977</v>
      </c>
      <c r="G71" s="2">
        <v>530000019073486</v>
      </c>
      <c r="H71">
        <v>0</v>
      </c>
      <c r="I71">
        <v>5</v>
      </c>
      <c r="J71">
        <v>58</v>
      </c>
      <c r="K71">
        <v>278</v>
      </c>
      <c r="L71">
        <v>1099</v>
      </c>
      <c r="M71">
        <v>3300</v>
      </c>
      <c r="N71" t="str">
        <f t="shared" si="2"/>
        <v>Alta Actividad</v>
      </c>
      <c r="O71" t="str">
        <f t="shared" si="3"/>
        <v>Alto Sedentarismo</v>
      </c>
    </row>
    <row r="72" spans="1:15" x14ac:dyDescent="0.3">
      <c r="A72">
        <v>1644430081</v>
      </c>
      <c r="B72" t="s">
        <v>28</v>
      </c>
      <c r="C72">
        <v>2436</v>
      </c>
      <c r="D72" s="2">
        <v>176999998092651</v>
      </c>
      <c r="E72">
        <v>0</v>
      </c>
      <c r="F72">
        <v>0</v>
      </c>
      <c r="G72" s="2">
        <v>175999999046326</v>
      </c>
      <c r="H72" t="s">
        <v>50</v>
      </c>
      <c r="I72">
        <v>0</v>
      </c>
      <c r="J72">
        <v>0</v>
      </c>
      <c r="K72">
        <v>125</v>
      </c>
      <c r="L72">
        <v>1315</v>
      </c>
      <c r="M72">
        <v>2430</v>
      </c>
      <c r="N72" t="str">
        <f t="shared" si="2"/>
        <v>Baja Actividad</v>
      </c>
      <c r="O72" t="str">
        <f t="shared" si="3"/>
        <v>Alto Sedentarismo</v>
      </c>
    </row>
    <row r="73" spans="1:15" x14ac:dyDescent="0.3">
      <c r="A73">
        <v>1644430081</v>
      </c>
      <c r="B73" t="s">
        <v>30</v>
      </c>
      <c r="C73">
        <v>1223</v>
      </c>
      <c r="D73" t="s">
        <v>65</v>
      </c>
      <c r="E73">
        <v>0</v>
      </c>
      <c r="F73">
        <v>0</v>
      </c>
      <c r="G73" t="s">
        <v>66</v>
      </c>
      <c r="H73" t="s">
        <v>50</v>
      </c>
      <c r="I73">
        <v>0</v>
      </c>
      <c r="J73">
        <v>0</v>
      </c>
      <c r="K73">
        <v>38</v>
      </c>
      <c r="L73">
        <v>1402</v>
      </c>
      <c r="M73">
        <v>2140</v>
      </c>
      <c r="N73" t="str">
        <f t="shared" si="2"/>
        <v>Baja Actividad</v>
      </c>
      <c r="O73" t="str">
        <f t="shared" si="3"/>
        <v>Alto Sedentarismo</v>
      </c>
    </row>
    <row r="74" spans="1:15" x14ac:dyDescent="0.3">
      <c r="A74">
        <v>1644430081</v>
      </c>
      <c r="B74" t="s">
        <v>32</v>
      </c>
      <c r="C74">
        <v>3673</v>
      </c>
      <c r="D74" s="2">
        <v>267000007629395</v>
      </c>
      <c r="E74">
        <v>0</v>
      </c>
      <c r="F74">
        <v>0</v>
      </c>
      <c r="G74" s="2">
        <v>266000008583069</v>
      </c>
      <c r="H74" t="s">
        <v>50</v>
      </c>
      <c r="I74">
        <v>0</v>
      </c>
      <c r="J74">
        <v>0</v>
      </c>
      <c r="K74">
        <v>86</v>
      </c>
      <c r="L74">
        <v>1354</v>
      </c>
      <c r="M74">
        <v>2344</v>
      </c>
      <c r="N74" t="str">
        <f t="shared" si="2"/>
        <v>Baja Actividad</v>
      </c>
      <c r="O74" t="str">
        <f t="shared" si="3"/>
        <v>Alto Sedentarismo</v>
      </c>
    </row>
    <row r="75" spans="1:15" x14ac:dyDescent="0.3">
      <c r="A75">
        <v>1644430081</v>
      </c>
      <c r="B75" t="s">
        <v>33</v>
      </c>
      <c r="C75">
        <v>6637</v>
      </c>
      <c r="D75" s="2">
        <v>482999992370605</v>
      </c>
      <c r="E75">
        <v>0</v>
      </c>
      <c r="F75" t="s">
        <v>67</v>
      </c>
      <c r="G75" t="s">
        <v>68</v>
      </c>
      <c r="H75">
        <v>0</v>
      </c>
      <c r="I75">
        <v>0</v>
      </c>
      <c r="J75">
        <v>15</v>
      </c>
      <c r="K75">
        <v>160</v>
      </c>
      <c r="L75">
        <v>1265</v>
      </c>
      <c r="M75">
        <v>2677</v>
      </c>
      <c r="N75" t="str">
        <f t="shared" si="2"/>
        <v>Baja Actividad</v>
      </c>
      <c r="O75" t="str">
        <f t="shared" si="3"/>
        <v>Alto Sedentarismo</v>
      </c>
    </row>
    <row r="76" spans="1:15" x14ac:dyDescent="0.3">
      <c r="A76">
        <v>1644430081</v>
      </c>
      <c r="B76" t="s">
        <v>35</v>
      </c>
      <c r="C76">
        <v>3321</v>
      </c>
      <c r="D76" s="2">
        <v>241000008583069</v>
      </c>
      <c r="E76">
        <v>0</v>
      </c>
      <c r="F76">
        <v>0</v>
      </c>
      <c r="G76" s="2">
        <v>241000008583069</v>
      </c>
      <c r="H76">
        <v>0</v>
      </c>
      <c r="I76">
        <v>0</v>
      </c>
      <c r="J76">
        <v>0</v>
      </c>
      <c r="K76">
        <v>89</v>
      </c>
      <c r="L76">
        <v>1351</v>
      </c>
      <c r="M76">
        <v>2413</v>
      </c>
      <c r="N76" t="str">
        <f t="shared" si="2"/>
        <v>Baja Actividad</v>
      </c>
      <c r="O76" t="str">
        <f t="shared" si="3"/>
        <v>Alto Sedentarismo</v>
      </c>
    </row>
    <row r="77" spans="1:15" x14ac:dyDescent="0.3">
      <c r="A77">
        <v>1644430081</v>
      </c>
      <c r="B77" t="s">
        <v>37</v>
      </c>
      <c r="C77">
        <v>3580</v>
      </c>
      <c r="D77" s="2">
        <v>259999990463257</v>
      </c>
      <c r="E77" t="s">
        <v>59</v>
      </c>
      <c r="F77" t="s">
        <v>69</v>
      </c>
      <c r="G77" s="2">
        <v>195000004768372</v>
      </c>
      <c r="H77">
        <v>0</v>
      </c>
      <c r="I77">
        <v>8</v>
      </c>
      <c r="J77">
        <v>1</v>
      </c>
      <c r="K77">
        <v>94</v>
      </c>
      <c r="L77">
        <v>1337</v>
      </c>
      <c r="M77">
        <v>2497</v>
      </c>
      <c r="N77" t="str">
        <f t="shared" si="2"/>
        <v>Baja Actividad</v>
      </c>
      <c r="O77" t="str">
        <f t="shared" si="3"/>
        <v>Alto Sedentarismo</v>
      </c>
    </row>
    <row r="78" spans="1:15" x14ac:dyDescent="0.3">
      <c r="A78">
        <v>1644430081</v>
      </c>
      <c r="B78" t="s">
        <v>39</v>
      </c>
      <c r="C78">
        <v>9919</v>
      </c>
      <c r="D78" s="2">
        <v>721000003814697</v>
      </c>
      <c r="E78" t="s">
        <v>70</v>
      </c>
      <c r="F78" s="2">
        <v>172000002861023</v>
      </c>
      <c r="G78" s="2">
        <v>469000005722046</v>
      </c>
      <c r="H78">
        <v>0</v>
      </c>
      <c r="I78">
        <v>11</v>
      </c>
      <c r="J78">
        <v>41</v>
      </c>
      <c r="K78">
        <v>223</v>
      </c>
      <c r="L78">
        <v>1165</v>
      </c>
      <c r="M78">
        <v>3123</v>
      </c>
      <c r="N78" t="str">
        <f t="shared" si="2"/>
        <v>Baja Actividad</v>
      </c>
      <c r="O78" t="str">
        <f t="shared" si="3"/>
        <v>Alto Sedentarismo</v>
      </c>
    </row>
    <row r="79" spans="1:15" x14ac:dyDescent="0.3">
      <c r="A79">
        <v>1644430081</v>
      </c>
      <c r="B79" t="s">
        <v>41</v>
      </c>
      <c r="C79">
        <v>3032</v>
      </c>
      <c r="D79" s="2">
        <v>220000004768372</v>
      </c>
      <c r="E79">
        <v>0</v>
      </c>
      <c r="F79">
        <v>0</v>
      </c>
      <c r="G79" s="2">
        <v>220000004768372</v>
      </c>
      <c r="H79">
        <v>0</v>
      </c>
      <c r="I79">
        <v>0</v>
      </c>
      <c r="J79">
        <v>0</v>
      </c>
      <c r="K79">
        <v>118</v>
      </c>
      <c r="L79">
        <v>1322</v>
      </c>
      <c r="M79">
        <v>2489</v>
      </c>
      <c r="N79" t="str">
        <f t="shared" si="2"/>
        <v>Baja Actividad</v>
      </c>
      <c r="O79" t="str">
        <f t="shared" si="3"/>
        <v>Alto Sedentarismo</v>
      </c>
    </row>
    <row r="80" spans="1:15" x14ac:dyDescent="0.3">
      <c r="A80">
        <v>1644430081</v>
      </c>
      <c r="B80" t="s">
        <v>42</v>
      </c>
      <c r="C80">
        <v>9405</v>
      </c>
      <c r="D80" s="2">
        <v>684000015258789</v>
      </c>
      <c r="E80" t="s">
        <v>56</v>
      </c>
      <c r="F80" s="2">
        <v>23199999332428</v>
      </c>
      <c r="G80" s="2">
        <v>430999994277954</v>
      </c>
      <c r="H80">
        <v>0</v>
      </c>
      <c r="I80">
        <v>3</v>
      </c>
      <c r="J80">
        <v>53</v>
      </c>
      <c r="K80">
        <v>227</v>
      </c>
      <c r="L80">
        <v>1157</v>
      </c>
      <c r="M80">
        <v>3108</v>
      </c>
      <c r="N80" t="str">
        <f t="shared" si="2"/>
        <v>Baja Actividad</v>
      </c>
      <c r="O80" t="str">
        <f t="shared" si="3"/>
        <v>Alto Sedentarismo</v>
      </c>
    </row>
    <row r="81" spans="1:15" x14ac:dyDescent="0.3">
      <c r="A81">
        <v>1644430081</v>
      </c>
      <c r="B81" t="s">
        <v>43</v>
      </c>
      <c r="C81">
        <v>3176</v>
      </c>
      <c r="D81" s="2">
        <v>230999994277954</v>
      </c>
      <c r="E81">
        <v>0</v>
      </c>
      <c r="F81">
        <v>0</v>
      </c>
      <c r="G81" s="2">
        <v>230999994277954</v>
      </c>
      <c r="H81">
        <v>0</v>
      </c>
      <c r="I81">
        <v>0</v>
      </c>
      <c r="J81">
        <v>0</v>
      </c>
      <c r="K81">
        <v>120</v>
      </c>
      <c r="L81">
        <v>1193</v>
      </c>
      <c r="M81">
        <v>2498</v>
      </c>
      <c r="N81" t="str">
        <f t="shared" si="2"/>
        <v>Baja Actividad</v>
      </c>
      <c r="O81" t="str">
        <f t="shared" si="3"/>
        <v>Alto Sedentarismo</v>
      </c>
    </row>
    <row r="82" spans="1:15" x14ac:dyDescent="0.3">
      <c r="A82">
        <v>1644430081</v>
      </c>
      <c r="B82" t="s">
        <v>45</v>
      </c>
      <c r="C82">
        <v>18213</v>
      </c>
      <c r="D82" s="2">
        <v>132399997711182</v>
      </c>
      <c r="E82" t="s">
        <v>71</v>
      </c>
      <c r="F82" s="2">
        <v>314000010490417</v>
      </c>
      <c r="G82" s="2">
        <v>946000003814697</v>
      </c>
      <c r="H82">
        <v>0</v>
      </c>
      <c r="I82">
        <v>9</v>
      </c>
      <c r="J82">
        <v>71</v>
      </c>
      <c r="K82">
        <v>402</v>
      </c>
      <c r="L82">
        <v>816</v>
      </c>
      <c r="M82">
        <v>3846</v>
      </c>
      <c r="N82" t="str">
        <f t="shared" si="2"/>
        <v>Alta Actividad</v>
      </c>
      <c r="O82" t="str">
        <f t="shared" si="3"/>
        <v>Alto Sedentarismo</v>
      </c>
    </row>
    <row r="83" spans="1:15" x14ac:dyDescent="0.3">
      <c r="A83">
        <v>1644430081</v>
      </c>
      <c r="B83" s="1">
        <v>42374</v>
      </c>
      <c r="C83">
        <v>6132</v>
      </c>
      <c r="D83" s="2">
        <v>446000003814697</v>
      </c>
      <c r="E83" t="s">
        <v>72</v>
      </c>
      <c r="F83" t="s">
        <v>73</v>
      </c>
      <c r="G83" s="2">
        <v>323000001907349</v>
      </c>
      <c r="H83">
        <v>0</v>
      </c>
      <c r="I83">
        <v>3</v>
      </c>
      <c r="J83">
        <v>24</v>
      </c>
      <c r="K83">
        <v>146</v>
      </c>
      <c r="L83">
        <v>908</v>
      </c>
      <c r="M83">
        <v>2696</v>
      </c>
      <c r="N83" t="str">
        <f t="shared" si="2"/>
        <v>Baja Actividad</v>
      </c>
      <c r="O83" t="str">
        <f t="shared" si="3"/>
        <v>Alto Sedentarismo</v>
      </c>
    </row>
    <row r="84" spans="1:15" x14ac:dyDescent="0.3">
      <c r="A84">
        <v>1644430081</v>
      </c>
      <c r="B84" s="1">
        <v>42405</v>
      </c>
      <c r="C84">
        <v>3758</v>
      </c>
      <c r="D84" s="2">
        <v>273000001907349</v>
      </c>
      <c r="E84" t="s">
        <v>74</v>
      </c>
      <c r="F84" t="s">
        <v>75</v>
      </c>
      <c r="G84" s="2">
        <v>234999990463257</v>
      </c>
      <c r="H84">
        <v>0</v>
      </c>
      <c r="I84">
        <v>1</v>
      </c>
      <c r="J84">
        <v>7</v>
      </c>
      <c r="K84">
        <v>148</v>
      </c>
      <c r="L84">
        <v>682</v>
      </c>
      <c r="M84">
        <v>2580</v>
      </c>
      <c r="N84" t="str">
        <f t="shared" si="2"/>
        <v>Baja Actividad</v>
      </c>
      <c r="O84" t="str">
        <f t="shared" si="3"/>
        <v>Bajo Sedentarismo</v>
      </c>
    </row>
    <row r="85" spans="1:15" x14ac:dyDescent="0.3">
      <c r="A85">
        <v>1644430081</v>
      </c>
      <c r="B85" s="1">
        <v>42434</v>
      </c>
      <c r="C85">
        <v>12850</v>
      </c>
      <c r="D85" s="2">
        <v>934000015258789</v>
      </c>
      <c r="E85" t="s">
        <v>76</v>
      </c>
      <c r="F85" s="2">
        <v>409000015258789</v>
      </c>
      <c r="G85" s="2">
        <v>453999996185303</v>
      </c>
      <c r="H85">
        <v>0</v>
      </c>
      <c r="I85">
        <v>10</v>
      </c>
      <c r="J85">
        <v>94</v>
      </c>
      <c r="K85">
        <v>221</v>
      </c>
      <c r="L85">
        <v>1115</v>
      </c>
      <c r="M85">
        <v>3324</v>
      </c>
      <c r="N85" t="str">
        <f t="shared" si="2"/>
        <v>Alta Actividad</v>
      </c>
      <c r="O85" t="str">
        <f t="shared" si="3"/>
        <v>Alto Sedentarismo</v>
      </c>
    </row>
    <row r="86" spans="1:15" x14ac:dyDescent="0.3">
      <c r="A86">
        <v>1644430081</v>
      </c>
      <c r="B86" s="1">
        <v>42465</v>
      </c>
      <c r="C86">
        <v>2309</v>
      </c>
      <c r="D86" s="2">
        <v>167999994754791</v>
      </c>
      <c r="E86">
        <v>0</v>
      </c>
      <c r="F86">
        <v>0</v>
      </c>
      <c r="G86" s="2">
        <v>16599999666214</v>
      </c>
      <c r="H86" t="s">
        <v>54</v>
      </c>
      <c r="I86">
        <v>0</v>
      </c>
      <c r="J86">
        <v>0</v>
      </c>
      <c r="K86">
        <v>52</v>
      </c>
      <c r="L86">
        <v>1388</v>
      </c>
      <c r="M86">
        <v>2222</v>
      </c>
      <c r="N86" t="str">
        <f t="shared" si="2"/>
        <v>Baja Actividad</v>
      </c>
      <c r="O86" t="str">
        <f t="shared" si="3"/>
        <v>Alto Sedentarismo</v>
      </c>
    </row>
    <row r="87" spans="1:15" x14ac:dyDescent="0.3">
      <c r="A87">
        <v>1644430081</v>
      </c>
      <c r="B87" s="1">
        <v>42495</v>
      </c>
      <c r="C87">
        <v>4363</v>
      </c>
      <c r="D87" s="2">
        <v>319000005722046</v>
      </c>
      <c r="E87" t="s">
        <v>77</v>
      </c>
      <c r="F87" t="s">
        <v>78</v>
      </c>
      <c r="G87" s="2">
        <v>213000011444092</v>
      </c>
      <c r="H87" t="s">
        <v>50</v>
      </c>
      <c r="I87">
        <v>6</v>
      </c>
      <c r="J87">
        <v>12</v>
      </c>
      <c r="K87">
        <v>81</v>
      </c>
      <c r="L87">
        <v>1341</v>
      </c>
      <c r="M87">
        <v>2463</v>
      </c>
      <c r="N87" t="str">
        <f t="shared" si="2"/>
        <v>Baja Actividad</v>
      </c>
      <c r="O87" t="str">
        <f t="shared" si="3"/>
        <v>Alto Sedentarismo</v>
      </c>
    </row>
    <row r="88" spans="1:15" x14ac:dyDescent="0.3">
      <c r="A88">
        <v>1644430081</v>
      </c>
      <c r="B88" s="1">
        <v>42526</v>
      </c>
      <c r="C88">
        <v>9787</v>
      </c>
      <c r="D88" s="2">
        <v>711999988555908</v>
      </c>
      <c r="E88" t="s">
        <v>79</v>
      </c>
      <c r="F88" t="s">
        <v>80</v>
      </c>
      <c r="G88" s="2">
        <v>601000022888184</v>
      </c>
      <c r="H88" t="s">
        <v>54</v>
      </c>
      <c r="I88">
        <v>11</v>
      </c>
      <c r="J88">
        <v>6</v>
      </c>
      <c r="K88">
        <v>369</v>
      </c>
      <c r="L88">
        <v>1054</v>
      </c>
      <c r="M88">
        <v>3328</v>
      </c>
      <c r="N88" t="str">
        <f t="shared" si="2"/>
        <v>Baja Actividad</v>
      </c>
      <c r="O88" t="str">
        <f t="shared" si="3"/>
        <v>Alto Sedentarismo</v>
      </c>
    </row>
    <row r="89" spans="1:15" x14ac:dyDescent="0.3">
      <c r="A89">
        <v>1644430081</v>
      </c>
      <c r="B89" s="1">
        <v>42556</v>
      </c>
      <c r="C89">
        <v>13372</v>
      </c>
      <c r="D89" s="2">
        <v>972000026702881</v>
      </c>
      <c r="E89" s="2">
        <v>325999999046326</v>
      </c>
      <c r="F89" t="s">
        <v>81</v>
      </c>
      <c r="G89" s="2">
        <v>567000007629395</v>
      </c>
      <c r="H89" t="s">
        <v>50</v>
      </c>
      <c r="I89">
        <v>41</v>
      </c>
      <c r="J89">
        <v>17</v>
      </c>
      <c r="K89">
        <v>243</v>
      </c>
      <c r="L89">
        <v>1139</v>
      </c>
      <c r="M89">
        <v>3404</v>
      </c>
      <c r="N89" t="str">
        <f t="shared" si="2"/>
        <v>Alta Actividad</v>
      </c>
      <c r="O89" t="str">
        <f t="shared" si="3"/>
        <v>Alto Sedentarismo</v>
      </c>
    </row>
    <row r="90" spans="1:15" x14ac:dyDescent="0.3">
      <c r="A90">
        <v>1644430081</v>
      </c>
      <c r="B90" s="1">
        <v>42587</v>
      </c>
      <c r="C90">
        <v>6724</v>
      </c>
      <c r="D90" s="2">
        <v>48899998664856</v>
      </c>
      <c r="E90">
        <v>0</v>
      </c>
      <c r="F90">
        <v>0</v>
      </c>
      <c r="G90" s="2">
        <v>488000011444092</v>
      </c>
      <c r="H90">
        <v>0</v>
      </c>
      <c r="I90">
        <v>0</v>
      </c>
      <c r="J90">
        <v>0</v>
      </c>
      <c r="K90">
        <v>295</v>
      </c>
      <c r="L90">
        <v>991</v>
      </c>
      <c r="M90">
        <v>2987</v>
      </c>
      <c r="N90" t="str">
        <f t="shared" si="2"/>
        <v>Baja Actividad</v>
      </c>
      <c r="O90" t="str">
        <f t="shared" si="3"/>
        <v>Alto Sedentarismo</v>
      </c>
    </row>
    <row r="91" spans="1:15" x14ac:dyDescent="0.3">
      <c r="A91">
        <v>1644430081</v>
      </c>
      <c r="B91" s="1">
        <v>42618</v>
      </c>
      <c r="C91">
        <v>6643</v>
      </c>
      <c r="D91" s="2">
        <v>482999992370605</v>
      </c>
      <c r="E91" s="2">
        <v>239000010490417</v>
      </c>
      <c r="F91" t="s">
        <v>31</v>
      </c>
      <c r="G91" s="2">
        <v>208999991416931</v>
      </c>
      <c r="H91" t="s">
        <v>50</v>
      </c>
      <c r="I91">
        <v>32</v>
      </c>
      <c r="J91">
        <v>6</v>
      </c>
      <c r="K91">
        <v>303</v>
      </c>
      <c r="L91">
        <v>1099</v>
      </c>
      <c r="M91">
        <v>3008</v>
      </c>
      <c r="N91" t="str">
        <f t="shared" si="2"/>
        <v>Baja Actividad</v>
      </c>
      <c r="O91" t="str">
        <f t="shared" si="3"/>
        <v>Alto Sedentarismo</v>
      </c>
    </row>
    <row r="92" spans="1:15" x14ac:dyDescent="0.3">
      <c r="A92">
        <v>1644430081</v>
      </c>
      <c r="B92" s="1">
        <v>42648</v>
      </c>
      <c r="C92">
        <v>9167</v>
      </c>
      <c r="D92" s="2">
        <v>665999984741211</v>
      </c>
      <c r="E92" t="s">
        <v>66</v>
      </c>
      <c r="F92" t="s">
        <v>82</v>
      </c>
      <c r="G92" s="2">
        <v>496999979019165</v>
      </c>
      <c r="H92" t="s">
        <v>50</v>
      </c>
      <c r="I92">
        <v>12</v>
      </c>
      <c r="J92">
        <v>19</v>
      </c>
      <c r="K92">
        <v>155</v>
      </c>
      <c r="L92">
        <v>1254</v>
      </c>
      <c r="M92">
        <v>2799</v>
      </c>
      <c r="N92" t="str">
        <f t="shared" si="2"/>
        <v>Baja Actividad</v>
      </c>
      <c r="O92" t="str">
        <f t="shared" si="3"/>
        <v>Alto Sedentarismo</v>
      </c>
    </row>
    <row r="93" spans="1:15" x14ac:dyDescent="0.3">
      <c r="A93">
        <v>1644430081</v>
      </c>
      <c r="B93" s="1">
        <v>42679</v>
      </c>
      <c r="C93">
        <v>1329</v>
      </c>
      <c r="D93" t="s">
        <v>52</v>
      </c>
      <c r="E93">
        <v>0</v>
      </c>
      <c r="F93">
        <v>0</v>
      </c>
      <c r="G93" t="s">
        <v>83</v>
      </c>
      <c r="H93" t="s">
        <v>50</v>
      </c>
      <c r="I93">
        <v>0</v>
      </c>
      <c r="J93">
        <v>0</v>
      </c>
      <c r="K93">
        <v>49</v>
      </c>
      <c r="L93">
        <v>713</v>
      </c>
      <c r="M93">
        <v>1276</v>
      </c>
      <c r="N93" t="str">
        <f t="shared" si="2"/>
        <v>Baja Actividad</v>
      </c>
      <c r="O93" t="str">
        <f t="shared" si="3"/>
        <v>Alto Sedentarismo</v>
      </c>
    </row>
    <row r="94" spans="1:15" x14ac:dyDescent="0.3">
      <c r="A94">
        <v>1844505072</v>
      </c>
      <c r="B94" s="1">
        <v>42708</v>
      </c>
      <c r="C94">
        <v>6697</v>
      </c>
      <c r="D94" s="2">
        <v>442999982833862</v>
      </c>
      <c r="E94">
        <v>0</v>
      </c>
      <c r="F94">
        <v>0</v>
      </c>
      <c r="G94" s="2">
        <v>442999982833862</v>
      </c>
      <c r="H94">
        <v>0</v>
      </c>
      <c r="I94">
        <v>0</v>
      </c>
      <c r="J94">
        <v>0</v>
      </c>
      <c r="K94">
        <v>339</v>
      </c>
      <c r="L94">
        <v>1101</v>
      </c>
      <c r="M94">
        <v>2030</v>
      </c>
      <c r="N94" t="str">
        <f t="shared" si="2"/>
        <v>Baja Actividad</v>
      </c>
      <c r="O94" t="str">
        <f t="shared" si="3"/>
        <v>Alto Sedentarismo</v>
      </c>
    </row>
    <row r="95" spans="1:15" x14ac:dyDescent="0.3">
      <c r="A95">
        <v>1844505072</v>
      </c>
      <c r="B95" t="s">
        <v>15</v>
      </c>
      <c r="C95">
        <v>4929</v>
      </c>
      <c r="D95" s="2">
        <v>325999999046326</v>
      </c>
      <c r="E95">
        <v>0</v>
      </c>
      <c r="F95">
        <v>0</v>
      </c>
      <c r="G95" s="2">
        <v>325999999046326</v>
      </c>
      <c r="H95">
        <v>0</v>
      </c>
      <c r="I95">
        <v>0</v>
      </c>
      <c r="J95">
        <v>0</v>
      </c>
      <c r="K95">
        <v>248</v>
      </c>
      <c r="L95">
        <v>1192</v>
      </c>
      <c r="M95">
        <v>1860</v>
      </c>
      <c r="N95" t="str">
        <f t="shared" si="2"/>
        <v>Baja Actividad</v>
      </c>
      <c r="O95" t="str">
        <f t="shared" si="3"/>
        <v>Alto Sedentarismo</v>
      </c>
    </row>
    <row r="96" spans="1:15" x14ac:dyDescent="0.3">
      <c r="A96">
        <v>1844505072</v>
      </c>
      <c r="B96" t="s">
        <v>17</v>
      </c>
      <c r="C96">
        <v>7937</v>
      </c>
      <c r="D96" t="s">
        <v>84</v>
      </c>
      <c r="E96">
        <v>0</v>
      </c>
      <c r="F96">
        <v>0</v>
      </c>
      <c r="G96" s="2">
        <v>523000001907349</v>
      </c>
      <c r="H96">
        <v>0</v>
      </c>
      <c r="I96">
        <v>0</v>
      </c>
      <c r="J96">
        <v>0</v>
      </c>
      <c r="K96">
        <v>373</v>
      </c>
      <c r="L96">
        <v>843</v>
      </c>
      <c r="M96">
        <v>2130</v>
      </c>
      <c r="N96" t="str">
        <f t="shared" si="2"/>
        <v>Baja Actividad</v>
      </c>
      <c r="O96" t="str">
        <f t="shared" si="3"/>
        <v>Alto Sedentarismo</v>
      </c>
    </row>
    <row r="97" spans="1:15" x14ac:dyDescent="0.3">
      <c r="A97">
        <v>1844505072</v>
      </c>
      <c r="B97" t="s">
        <v>19</v>
      </c>
      <c r="C97">
        <v>3844</v>
      </c>
      <c r="D97" s="2">
        <v>253999996185303</v>
      </c>
      <c r="E97">
        <v>0</v>
      </c>
      <c r="F97">
        <v>0</v>
      </c>
      <c r="G97" s="2">
        <v>253999996185303</v>
      </c>
      <c r="H97">
        <v>0</v>
      </c>
      <c r="I97">
        <v>0</v>
      </c>
      <c r="J97">
        <v>0</v>
      </c>
      <c r="K97">
        <v>176</v>
      </c>
      <c r="L97">
        <v>527</v>
      </c>
      <c r="M97">
        <v>1725</v>
      </c>
      <c r="N97" t="str">
        <f t="shared" si="2"/>
        <v>Baja Actividad</v>
      </c>
      <c r="O97" t="str">
        <f t="shared" si="3"/>
        <v>Bajo Sedentarismo</v>
      </c>
    </row>
    <row r="98" spans="1:15" x14ac:dyDescent="0.3">
      <c r="A98">
        <v>1844505072</v>
      </c>
      <c r="B98" t="s">
        <v>20</v>
      </c>
      <c r="C98">
        <v>3414</v>
      </c>
      <c r="D98" s="2">
        <v>225999999046326</v>
      </c>
      <c r="E98">
        <v>0</v>
      </c>
      <c r="F98">
        <v>0</v>
      </c>
      <c r="G98" s="2">
        <v>225999999046326</v>
      </c>
      <c r="H98">
        <v>0</v>
      </c>
      <c r="I98">
        <v>0</v>
      </c>
      <c r="J98">
        <v>0</v>
      </c>
      <c r="K98">
        <v>147</v>
      </c>
      <c r="L98">
        <v>1293</v>
      </c>
      <c r="M98">
        <v>1657</v>
      </c>
      <c r="N98" t="str">
        <f t="shared" si="2"/>
        <v>Baja Actividad</v>
      </c>
      <c r="O98" t="str">
        <f t="shared" si="3"/>
        <v>Alto Sedentarismo</v>
      </c>
    </row>
    <row r="99" spans="1:15" x14ac:dyDescent="0.3">
      <c r="A99">
        <v>1844505072</v>
      </c>
      <c r="B99" t="s">
        <v>22</v>
      </c>
      <c r="C99">
        <v>4525</v>
      </c>
      <c r="D99" s="2">
        <v>299000000953674</v>
      </c>
      <c r="E99" t="s">
        <v>60</v>
      </c>
      <c r="F99" t="s">
        <v>85</v>
      </c>
      <c r="G99" s="2">
        <v>258999991416931</v>
      </c>
      <c r="H99">
        <v>0</v>
      </c>
      <c r="I99">
        <v>2</v>
      </c>
      <c r="J99">
        <v>8</v>
      </c>
      <c r="K99">
        <v>199</v>
      </c>
      <c r="L99">
        <v>1231</v>
      </c>
      <c r="M99">
        <v>1793</v>
      </c>
      <c r="N99" t="str">
        <f t="shared" si="2"/>
        <v>Baja Actividad</v>
      </c>
      <c r="O99" t="str">
        <f t="shared" si="3"/>
        <v>Alto Sedentarismo</v>
      </c>
    </row>
    <row r="100" spans="1:15" x14ac:dyDescent="0.3">
      <c r="A100">
        <v>1844505072</v>
      </c>
      <c r="B100" t="s">
        <v>24</v>
      </c>
      <c r="C100">
        <v>4597</v>
      </c>
      <c r="D100" s="2">
        <v>303999996185303</v>
      </c>
      <c r="E100">
        <v>0</v>
      </c>
      <c r="F100" t="s">
        <v>29</v>
      </c>
      <c r="G100" s="2">
        <v>255999994277954</v>
      </c>
      <c r="H100">
        <v>0</v>
      </c>
      <c r="I100">
        <v>0</v>
      </c>
      <c r="J100">
        <v>12</v>
      </c>
      <c r="K100">
        <v>217</v>
      </c>
      <c r="L100">
        <v>1211</v>
      </c>
      <c r="M100">
        <v>1814</v>
      </c>
      <c r="N100" t="str">
        <f t="shared" si="2"/>
        <v>Baja Actividad</v>
      </c>
      <c r="O100" t="str">
        <f t="shared" si="3"/>
        <v>Alto Sedentarismo</v>
      </c>
    </row>
    <row r="101" spans="1:15" x14ac:dyDescent="0.3">
      <c r="A101">
        <v>1844505072</v>
      </c>
      <c r="B101" t="s">
        <v>27</v>
      </c>
      <c r="C101">
        <v>197</v>
      </c>
      <c r="D101" t="s">
        <v>86</v>
      </c>
      <c r="E101">
        <v>0</v>
      </c>
      <c r="F101">
        <v>0</v>
      </c>
      <c r="G101" t="s">
        <v>86</v>
      </c>
      <c r="H101">
        <v>0</v>
      </c>
      <c r="I101">
        <v>0</v>
      </c>
      <c r="J101">
        <v>0</v>
      </c>
      <c r="K101">
        <v>10</v>
      </c>
      <c r="L101">
        <v>1430</v>
      </c>
      <c r="M101">
        <v>1366</v>
      </c>
      <c r="N101" t="str">
        <f t="shared" si="2"/>
        <v>Baja Actividad</v>
      </c>
      <c r="O101" t="str">
        <f t="shared" si="3"/>
        <v>Alto Sedentarismo</v>
      </c>
    </row>
    <row r="102" spans="1:15" x14ac:dyDescent="0.3">
      <c r="A102">
        <v>1844505072</v>
      </c>
      <c r="B102" t="s">
        <v>28</v>
      </c>
      <c r="C102">
        <v>8</v>
      </c>
      <c r="D102" t="s">
        <v>50</v>
      </c>
      <c r="E102">
        <v>0</v>
      </c>
      <c r="F102">
        <v>0</v>
      </c>
      <c r="G102" t="s">
        <v>50</v>
      </c>
      <c r="H102">
        <v>0</v>
      </c>
      <c r="I102">
        <v>0</v>
      </c>
      <c r="J102">
        <v>0</v>
      </c>
      <c r="K102">
        <v>1</v>
      </c>
      <c r="L102">
        <v>1439</v>
      </c>
      <c r="M102">
        <v>1349</v>
      </c>
      <c r="N102" t="str">
        <f t="shared" si="2"/>
        <v>Baja Actividad</v>
      </c>
      <c r="O102" t="str">
        <f t="shared" si="3"/>
        <v>Alto Sedentarismo</v>
      </c>
    </row>
    <row r="103" spans="1:15" x14ac:dyDescent="0.3">
      <c r="A103">
        <v>1844505072</v>
      </c>
      <c r="B103" t="s">
        <v>30</v>
      </c>
      <c r="C103">
        <v>8054</v>
      </c>
      <c r="D103" s="2">
        <v>532000017166138</v>
      </c>
      <c r="E103" t="s">
        <v>87</v>
      </c>
      <c r="F103" t="s">
        <v>77</v>
      </c>
      <c r="G103" s="2">
        <v>467999982833862</v>
      </c>
      <c r="H103">
        <v>0</v>
      </c>
      <c r="I103">
        <v>2</v>
      </c>
      <c r="J103">
        <v>13</v>
      </c>
      <c r="K103">
        <v>308</v>
      </c>
      <c r="L103">
        <v>1117</v>
      </c>
      <c r="M103">
        <v>2062</v>
      </c>
      <c r="N103" t="str">
        <f t="shared" si="2"/>
        <v>Baja Actividad</v>
      </c>
      <c r="O103" t="str">
        <f t="shared" si="3"/>
        <v>Alto Sedentarismo</v>
      </c>
    </row>
    <row r="104" spans="1:15" x14ac:dyDescent="0.3">
      <c r="A104">
        <v>1844505072</v>
      </c>
      <c r="B104" t="s">
        <v>32</v>
      </c>
      <c r="C104">
        <v>5372</v>
      </c>
      <c r="D104" s="2">
        <v>354999995231628</v>
      </c>
      <c r="E104">
        <v>0</v>
      </c>
      <c r="F104">
        <v>0</v>
      </c>
      <c r="G104" s="2">
        <v>354999995231628</v>
      </c>
      <c r="H104">
        <v>0</v>
      </c>
      <c r="I104">
        <v>0</v>
      </c>
      <c r="J104">
        <v>0</v>
      </c>
      <c r="K104">
        <v>220</v>
      </c>
      <c r="L104">
        <v>1220</v>
      </c>
      <c r="M104">
        <v>1827</v>
      </c>
      <c r="N104" t="str">
        <f t="shared" si="2"/>
        <v>Baja Actividad</v>
      </c>
      <c r="O104" t="str">
        <f t="shared" si="3"/>
        <v>Alto Sedentarismo</v>
      </c>
    </row>
    <row r="105" spans="1:15" x14ac:dyDescent="0.3">
      <c r="A105">
        <v>1844505072</v>
      </c>
      <c r="B105" t="s">
        <v>33</v>
      </c>
      <c r="C105">
        <v>3570</v>
      </c>
      <c r="D105" s="2">
        <v>235999989509583</v>
      </c>
      <c r="E105">
        <v>0</v>
      </c>
      <c r="F105">
        <v>0</v>
      </c>
      <c r="G105" s="2">
        <v>235999989509583</v>
      </c>
      <c r="H105">
        <v>0</v>
      </c>
      <c r="I105">
        <v>0</v>
      </c>
      <c r="J105">
        <v>0</v>
      </c>
      <c r="K105">
        <v>139</v>
      </c>
      <c r="L105">
        <v>1301</v>
      </c>
      <c r="M105">
        <v>1645</v>
      </c>
      <c r="N105" t="str">
        <f t="shared" si="2"/>
        <v>Baja Actividad</v>
      </c>
      <c r="O105" t="str">
        <f t="shared" si="3"/>
        <v>Alto Sedentarismo</v>
      </c>
    </row>
    <row r="106" spans="1:15" x14ac:dyDescent="0.3">
      <c r="A106">
        <v>1844505072</v>
      </c>
      <c r="B106" t="s">
        <v>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1440</v>
      </c>
      <c r="M106">
        <v>1347</v>
      </c>
      <c r="N106" t="str">
        <f t="shared" si="2"/>
        <v>Baja Actividad</v>
      </c>
      <c r="O106" t="str">
        <f t="shared" si="3"/>
        <v>Alto Sedentarismo</v>
      </c>
    </row>
    <row r="107" spans="1:15" x14ac:dyDescent="0.3">
      <c r="A107">
        <v>1844505072</v>
      </c>
      <c r="B107" t="s">
        <v>37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1440</v>
      </c>
      <c r="M107">
        <v>1347</v>
      </c>
      <c r="N107" t="str">
        <f t="shared" si="2"/>
        <v>Baja Actividad</v>
      </c>
      <c r="O107" t="str">
        <f t="shared" si="3"/>
        <v>Alto Sedentarismo</v>
      </c>
    </row>
    <row r="108" spans="1:15" x14ac:dyDescent="0.3">
      <c r="A108">
        <v>1844505072</v>
      </c>
      <c r="B108" t="s">
        <v>39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1440</v>
      </c>
      <c r="M108">
        <v>1347</v>
      </c>
      <c r="N108" t="str">
        <f t="shared" si="2"/>
        <v>Baja Actividad</v>
      </c>
      <c r="O108" t="str">
        <f t="shared" si="3"/>
        <v>Alto Sedentarismo</v>
      </c>
    </row>
    <row r="109" spans="1:15" x14ac:dyDescent="0.3">
      <c r="A109">
        <v>1844505072</v>
      </c>
      <c r="B109" t="s">
        <v>41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1439</v>
      </c>
      <c r="M109">
        <v>1348</v>
      </c>
      <c r="N109" t="str">
        <f t="shared" si="2"/>
        <v>Baja Actividad</v>
      </c>
      <c r="O109" t="str">
        <f t="shared" si="3"/>
        <v>Alto Sedentarismo</v>
      </c>
    </row>
    <row r="110" spans="1:15" x14ac:dyDescent="0.3">
      <c r="A110">
        <v>1844505072</v>
      </c>
      <c r="B110" t="s">
        <v>42</v>
      </c>
      <c r="C110">
        <v>6907</v>
      </c>
      <c r="D110" s="2">
        <v>457000017166138</v>
      </c>
      <c r="E110">
        <v>0</v>
      </c>
      <c r="F110">
        <v>0</v>
      </c>
      <c r="G110" s="2">
        <v>455999994277954</v>
      </c>
      <c r="H110">
        <v>0</v>
      </c>
      <c r="I110">
        <v>0</v>
      </c>
      <c r="J110">
        <v>0</v>
      </c>
      <c r="K110">
        <v>302</v>
      </c>
      <c r="L110">
        <v>1138</v>
      </c>
      <c r="M110">
        <v>1992</v>
      </c>
      <c r="N110" t="str">
        <f t="shared" si="2"/>
        <v>Baja Actividad</v>
      </c>
      <c r="O110" t="str">
        <f t="shared" si="3"/>
        <v>Alto Sedentarismo</v>
      </c>
    </row>
    <row r="111" spans="1:15" x14ac:dyDescent="0.3">
      <c r="A111">
        <v>1844505072</v>
      </c>
      <c r="B111" t="s">
        <v>43</v>
      </c>
      <c r="C111">
        <v>4920</v>
      </c>
      <c r="D111" t="s">
        <v>25</v>
      </c>
      <c r="E111">
        <v>0</v>
      </c>
      <c r="F111">
        <v>0</v>
      </c>
      <c r="G111" t="s">
        <v>25</v>
      </c>
      <c r="H111">
        <v>0</v>
      </c>
      <c r="I111">
        <v>0</v>
      </c>
      <c r="J111">
        <v>0</v>
      </c>
      <c r="K111">
        <v>247</v>
      </c>
      <c r="L111">
        <v>1082</v>
      </c>
      <c r="M111">
        <v>1856</v>
      </c>
      <c r="N111" t="str">
        <f t="shared" si="2"/>
        <v>Baja Actividad</v>
      </c>
      <c r="O111" t="str">
        <f t="shared" si="3"/>
        <v>Alto Sedentarismo</v>
      </c>
    </row>
    <row r="112" spans="1:15" x14ac:dyDescent="0.3">
      <c r="A112">
        <v>1844505072</v>
      </c>
      <c r="B112" t="s">
        <v>45</v>
      </c>
      <c r="C112">
        <v>4014</v>
      </c>
      <c r="D112" s="2">
        <v>267000007629395</v>
      </c>
      <c r="E112">
        <v>0</v>
      </c>
      <c r="F112">
        <v>0</v>
      </c>
      <c r="G112" s="2">
        <v>265000009536743</v>
      </c>
      <c r="H112">
        <v>0</v>
      </c>
      <c r="I112">
        <v>0</v>
      </c>
      <c r="J112">
        <v>0</v>
      </c>
      <c r="K112">
        <v>184</v>
      </c>
      <c r="L112">
        <v>218</v>
      </c>
      <c r="M112">
        <v>1763</v>
      </c>
      <c r="N112" t="str">
        <f t="shared" si="2"/>
        <v>Baja Actividad</v>
      </c>
      <c r="O112" t="str">
        <f t="shared" si="3"/>
        <v>Bajo Sedentarismo</v>
      </c>
    </row>
    <row r="113" spans="1:15" x14ac:dyDescent="0.3">
      <c r="A113">
        <v>1844505072</v>
      </c>
      <c r="B113" s="1">
        <v>42374</v>
      </c>
      <c r="C113">
        <v>2573</v>
      </c>
      <c r="D113" s="2">
        <v>170000004768372</v>
      </c>
      <c r="E113">
        <v>0</v>
      </c>
      <c r="F113" t="s">
        <v>85</v>
      </c>
      <c r="G113" s="2">
        <v>145000004768372</v>
      </c>
      <c r="H113">
        <v>0</v>
      </c>
      <c r="I113">
        <v>0</v>
      </c>
      <c r="J113">
        <v>7</v>
      </c>
      <c r="K113">
        <v>75</v>
      </c>
      <c r="L113">
        <v>585</v>
      </c>
      <c r="M113">
        <v>1541</v>
      </c>
      <c r="N113" t="str">
        <f t="shared" si="2"/>
        <v>Baja Actividad</v>
      </c>
      <c r="O113" t="str">
        <f t="shared" si="3"/>
        <v>Bajo Sedentarismo</v>
      </c>
    </row>
    <row r="114" spans="1:15" x14ac:dyDescent="0.3">
      <c r="A114">
        <v>1844505072</v>
      </c>
      <c r="B114" s="1">
        <v>42405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1440</v>
      </c>
      <c r="M114">
        <v>1348</v>
      </c>
      <c r="N114" t="str">
        <f t="shared" si="2"/>
        <v>Baja Actividad</v>
      </c>
      <c r="O114" t="str">
        <f t="shared" si="3"/>
        <v>Alto Sedentarismo</v>
      </c>
    </row>
    <row r="115" spans="1:15" x14ac:dyDescent="0.3">
      <c r="A115">
        <v>1844505072</v>
      </c>
      <c r="B115" s="1">
        <v>42434</v>
      </c>
      <c r="C115">
        <v>4059</v>
      </c>
      <c r="D115" s="2">
        <v>26800000667572</v>
      </c>
      <c r="E115">
        <v>0</v>
      </c>
      <c r="F115">
        <v>0</v>
      </c>
      <c r="G115" s="2">
        <v>26800000667572</v>
      </c>
      <c r="H115">
        <v>0</v>
      </c>
      <c r="I115">
        <v>0</v>
      </c>
      <c r="J115">
        <v>0</v>
      </c>
      <c r="K115">
        <v>184</v>
      </c>
      <c r="L115">
        <v>1256</v>
      </c>
      <c r="M115">
        <v>1742</v>
      </c>
      <c r="N115" t="str">
        <f t="shared" si="2"/>
        <v>Baja Actividad</v>
      </c>
      <c r="O115" t="str">
        <f t="shared" si="3"/>
        <v>Alto Sedentarismo</v>
      </c>
    </row>
    <row r="116" spans="1:15" x14ac:dyDescent="0.3">
      <c r="A116">
        <v>1844505072</v>
      </c>
      <c r="B116" s="1">
        <v>42465</v>
      </c>
      <c r="C116">
        <v>2080</v>
      </c>
      <c r="D116" s="2">
        <v>137000000476837</v>
      </c>
      <c r="E116">
        <v>0</v>
      </c>
      <c r="F116">
        <v>0</v>
      </c>
      <c r="G116" s="2">
        <v>137000000476837</v>
      </c>
      <c r="H116">
        <v>0</v>
      </c>
      <c r="I116">
        <v>0</v>
      </c>
      <c r="J116">
        <v>0</v>
      </c>
      <c r="K116">
        <v>87</v>
      </c>
      <c r="L116">
        <v>1353</v>
      </c>
      <c r="M116">
        <v>1549</v>
      </c>
      <c r="N116" t="str">
        <f t="shared" si="2"/>
        <v>Baja Actividad</v>
      </c>
      <c r="O116" t="str">
        <f t="shared" si="3"/>
        <v>Alto Sedentarismo</v>
      </c>
    </row>
    <row r="117" spans="1:15" x14ac:dyDescent="0.3">
      <c r="A117">
        <v>1844505072</v>
      </c>
      <c r="B117" s="1">
        <v>42495</v>
      </c>
      <c r="C117">
        <v>2237</v>
      </c>
      <c r="D117" s="2">
        <v>148000001907349</v>
      </c>
      <c r="E117">
        <v>0</v>
      </c>
      <c r="F117">
        <v>0</v>
      </c>
      <c r="G117" s="2">
        <v>148000001907349</v>
      </c>
      <c r="H117">
        <v>0</v>
      </c>
      <c r="I117">
        <v>0</v>
      </c>
      <c r="J117">
        <v>0</v>
      </c>
      <c r="K117">
        <v>120</v>
      </c>
      <c r="L117">
        <v>1320</v>
      </c>
      <c r="M117">
        <v>1589</v>
      </c>
      <c r="N117" t="str">
        <f t="shared" si="2"/>
        <v>Baja Actividad</v>
      </c>
      <c r="O117" t="str">
        <f t="shared" si="3"/>
        <v>Alto Sedentarismo</v>
      </c>
    </row>
    <row r="118" spans="1:15" x14ac:dyDescent="0.3">
      <c r="A118">
        <v>1844505072</v>
      </c>
      <c r="B118" s="1">
        <v>42526</v>
      </c>
      <c r="C118">
        <v>44</v>
      </c>
      <c r="D118" t="s">
        <v>88</v>
      </c>
      <c r="E118">
        <v>0</v>
      </c>
      <c r="F118">
        <v>0</v>
      </c>
      <c r="G118" t="s">
        <v>88</v>
      </c>
      <c r="H118">
        <v>0</v>
      </c>
      <c r="I118">
        <v>0</v>
      </c>
      <c r="J118">
        <v>0</v>
      </c>
      <c r="K118">
        <v>2</v>
      </c>
      <c r="L118">
        <v>1438</v>
      </c>
      <c r="M118">
        <v>1351</v>
      </c>
      <c r="N118" t="str">
        <f t="shared" si="2"/>
        <v>Baja Actividad</v>
      </c>
      <c r="O118" t="str">
        <f t="shared" si="3"/>
        <v>Alto Sedentarismo</v>
      </c>
    </row>
    <row r="119" spans="1:15" x14ac:dyDescent="0.3">
      <c r="A119">
        <v>1844505072</v>
      </c>
      <c r="B119" s="1">
        <v>42556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1440</v>
      </c>
      <c r="M119">
        <v>1347</v>
      </c>
      <c r="N119" t="str">
        <f t="shared" si="2"/>
        <v>Baja Actividad</v>
      </c>
      <c r="O119" t="str">
        <f t="shared" si="3"/>
        <v>Alto Sedentarismo</v>
      </c>
    </row>
    <row r="120" spans="1:15" x14ac:dyDescent="0.3">
      <c r="A120">
        <v>1844505072</v>
      </c>
      <c r="B120" s="1">
        <v>42587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1440</v>
      </c>
      <c r="M120">
        <v>1347</v>
      </c>
      <c r="N120" t="str">
        <f t="shared" si="2"/>
        <v>Baja Actividad</v>
      </c>
      <c r="O120" t="str">
        <f t="shared" si="3"/>
        <v>Alto Sedentarismo</v>
      </c>
    </row>
    <row r="121" spans="1:15" x14ac:dyDescent="0.3">
      <c r="A121">
        <v>1844505072</v>
      </c>
      <c r="B121" s="1">
        <v>42618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1440</v>
      </c>
      <c r="M121">
        <v>1347</v>
      </c>
      <c r="N121" t="str">
        <f t="shared" si="2"/>
        <v>Baja Actividad</v>
      </c>
      <c r="O121" t="str">
        <f t="shared" si="3"/>
        <v>Alto Sedentarismo</v>
      </c>
    </row>
    <row r="122" spans="1:15" x14ac:dyDescent="0.3">
      <c r="A122">
        <v>1844505072</v>
      </c>
      <c r="B122" s="1">
        <v>42648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1440</v>
      </c>
      <c r="M122">
        <v>1347</v>
      </c>
      <c r="N122" t="str">
        <f t="shared" si="2"/>
        <v>Baja Actividad</v>
      </c>
      <c r="O122" t="str">
        <f t="shared" si="3"/>
        <v>Alto Sedentarismo</v>
      </c>
    </row>
    <row r="123" spans="1:15" x14ac:dyDescent="0.3">
      <c r="A123">
        <v>1844505072</v>
      </c>
      <c r="B123" s="1">
        <v>42679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1440</v>
      </c>
      <c r="M123">
        <v>1347</v>
      </c>
      <c r="N123" t="str">
        <f t="shared" si="2"/>
        <v>Baja Actividad</v>
      </c>
      <c r="O123" t="str">
        <f t="shared" si="3"/>
        <v>Alto Sedentarismo</v>
      </c>
    </row>
    <row r="124" spans="1:15" x14ac:dyDescent="0.3">
      <c r="A124">
        <v>1844505072</v>
      </c>
      <c r="B124" s="1">
        <v>42709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711</v>
      </c>
      <c r="M124">
        <v>665</v>
      </c>
      <c r="N124" t="str">
        <f t="shared" si="2"/>
        <v>Baja Actividad</v>
      </c>
      <c r="O124" t="str">
        <f t="shared" si="3"/>
        <v>Alto Sedentarismo</v>
      </c>
    </row>
    <row r="125" spans="1:15" x14ac:dyDescent="0.3">
      <c r="A125">
        <v>1927972279</v>
      </c>
      <c r="B125" s="1">
        <v>42708</v>
      </c>
      <c r="C125">
        <v>678</v>
      </c>
      <c r="D125" t="s">
        <v>89</v>
      </c>
      <c r="E125">
        <v>0</v>
      </c>
      <c r="F125">
        <v>0</v>
      </c>
      <c r="G125" t="s">
        <v>89</v>
      </c>
      <c r="H125">
        <v>0</v>
      </c>
      <c r="I125">
        <v>0</v>
      </c>
      <c r="J125">
        <v>0</v>
      </c>
      <c r="K125">
        <v>55</v>
      </c>
      <c r="L125">
        <v>734</v>
      </c>
      <c r="M125">
        <v>2220</v>
      </c>
      <c r="N125" t="str">
        <f t="shared" si="2"/>
        <v>Baja Actividad</v>
      </c>
      <c r="O125" t="str">
        <f t="shared" si="3"/>
        <v>Alto Sedentarismo</v>
      </c>
    </row>
    <row r="126" spans="1:15" x14ac:dyDescent="0.3">
      <c r="A126">
        <v>1927972279</v>
      </c>
      <c r="B126" t="s">
        <v>15</v>
      </c>
      <c r="C126">
        <v>356</v>
      </c>
      <c r="D126" t="s">
        <v>47</v>
      </c>
      <c r="E126">
        <v>0</v>
      </c>
      <c r="F126">
        <v>0</v>
      </c>
      <c r="G126" t="s">
        <v>47</v>
      </c>
      <c r="H126">
        <v>0</v>
      </c>
      <c r="I126">
        <v>0</v>
      </c>
      <c r="J126">
        <v>0</v>
      </c>
      <c r="K126">
        <v>32</v>
      </c>
      <c r="L126">
        <v>986</v>
      </c>
      <c r="M126">
        <v>2151</v>
      </c>
      <c r="N126" t="str">
        <f t="shared" si="2"/>
        <v>Baja Actividad</v>
      </c>
      <c r="O126" t="str">
        <f t="shared" si="3"/>
        <v>Alto Sedentarismo</v>
      </c>
    </row>
    <row r="127" spans="1:15" x14ac:dyDescent="0.3">
      <c r="A127">
        <v>1927972279</v>
      </c>
      <c r="B127" t="s">
        <v>17</v>
      </c>
      <c r="C127">
        <v>2163</v>
      </c>
      <c r="D127" t="s">
        <v>90</v>
      </c>
      <c r="E127">
        <v>0</v>
      </c>
      <c r="F127" t="s">
        <v>18</v>
      </c>
      <c r="G127" s="2">
        <v>110000002384186</v>
      </c>
      <c r="H127">
        <v>0</v>
      </c>
      <c r="I127">
        <v>0</v>
      </c>
      <c r="J127">
        <v>9</v>
      </c>
      <c r="K127">
        <v>88</v>
      </c>
      <c r="L127">
        <v>1292</v>
      </c>
      <c r="M127">
        <v>2383</v>
      </c>
      <c r="N127" t="str">
        <f t="shared" si="2"/>
        <v>Baja Actividad</v>
      </c>
      <c r="O127" t="str">
        <f t="shared" si="3"/>
        <v>Alto Sedentarismo</v>
      </c>
    </row>
    <row r="128" spans="1:15" x14ac:dyDescent="0.3">
      <c r="A128">
        <v>1927972279</v>
      </c>
      <c r="B128" t="s">
        <v>19</v>
      </c>
      <c r="C128">
        <v>980</v>
      </c>
      <c r="D128" t="s">
        <v>91</v>
      </c>
      <c r="E128">
        <v>0</v>
      </c>
      <c r="F128">
        <v>0</v>
      </c>
      <c r="G128" t="s">
        <v>91</v>
      </c>
      <c r="H128">
        <v>0</v>
      </c>
      <c r="I128">
        <v>0</v>
      </c>
      <c r="J128">
        <v>0</v>
      </c>
      <c r="K128">
        <v>51</v>
      </c>
      <c r="L128">
        <v>941</v>
      </c>
      <c r="M128">
        <v>2221</v>
      </c>
      <c r="N128" t="str">
        <f t="shared" si="2"/>
        <v>Baja Actividad</v>
      </c>
      <c r="O128" t="str">
        <f t="shared" si="3"/>
        <v>Alto Sedentarismo</v>
      </c>
    </row>
    <row r="129" spans="1:15" x14ac:dyDescent="0.3">
      <c r="A129">
        <v>1927972279</v>
      </c>
      <c r="B129" t="s">
        <v>20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1440</v>
      </c>
      <c r="M129">
        <v>2064</v>
      </c>
      <c r="N129" t="str">
        <f t="shared" si="2"/>
        <v>Baja Actividad</v>
      </c>
      <c r="O129" t="str">
        <f t="shared" si="3"/>
        <v>Alto Sedentarismo</v>
      </c>
    </row>
    <row r="130" spans="1:15" x14ac:dyDescent="0.3">
      <c r="A130">
        <v>1927972279</v>
      </c>
      <c r="B130" t="s">
        <v>22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1440</v>
      </c>
      <c r="M130">
        <v>2063</v>
      </c>
      <c r="N130" t="str">
        <f t="shared" si="2"/>
        <v>Baja Actividad</v>
      </c>
      <c r="O130" t="str">
        <f t="shared" si="3"/>
        <v>Alto Sedentarismo</v>
      </c>
    </row>
    <row r="131" spans="1:15" x14ac:dyDescent="0.3">
      <c r="A131">
        <v>1927972279</v>
      </c>
      <c r="B131" t="s">
        <v>24</v>
      </c>
      <c r="C131">
        <v>244</v>
      </c>
      <c r="D131" t="s">
        <v>92</v>
      </c>
      <c r="E131">
        <v>0</v>
      </c>
      <c r="F131">
        <v>0</v>
      </c>
      <c r="G131" t="s">
        <v>92</v>
      </c>
      <c r="H131">
        <v>0</v>
      </c>
      <c r="I131">
        <v>0</v>
      </c>
      <c r="J131">
        <v>0</v>
      </c>
      <c r="K131">
        <v>17</v>
      </c>
      <c r="L131">
        <v>1423</v>
      </c>
      <c r="M131">
        <v>2111</v>
      </c>
      <c r="N131" t="str">
        <f t="shared" ref="N131:N194" si="4">IF(C131&gt;=10000, "Alta Actividad", "Baja Actividad")</f>
        <v>Baja Actividad</v>
      </c>
      <c r="O131" t="str">
        <f t="shared" ref="O131:O194" si="5">IF(L131&gt;=700, "Alto Sedentarismo",  "Bajo Sedentarismo")</f>
        <v>Alto Sedentarismo</v>
      </c>
    </row>
    <row r="132" spans="1:15" x14ac:dyDescent="0.3">
      <c r="A132">
        <v>1927972279</v>
      </c>
      <c r="B132" t="s">
        <v>27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1440</v>
      </c>
      <c r="M132">
        <v>2063</v>
      </c>
      <c r="N132" t="str">
        <f t="shared" si="4"/>
        <v>Baja Actividad</v>
      </c>
      <c r="O132" t="str">
        <f t="shared" si="5"/>
        <v>Alto Sedentarismo</v>
      </c>
    </row>
    <row r="133" spans="1:15" x14ac:dyDescent="0.3">
      <c r="A133">
        <v>1927972279</v>
      </c>
      <c r="B133" t="s">
        <v>28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1440</v>
      </c>
      <c r="M133">
        <v>2063</v>
      </c>
      <c r="N133" t="str">
        <f t="shared" si="4"/>
        <v>Baja Actividad</v>
      </c>
      <c r="O133" t="str">
        <f t="shared" si="5"/>
        <v>Alto Sedentarismo</v>
      </c>
    </row>
    <row r="134" spans="1:15" x14ac:dyDescent="0.3">
      <c r="A134">
        <v>1927972279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1440</v>
      </c>
      <c r="M134">
        <v>2064</v>
      </c>
      <c r="N134" t="str">
        <f t="shared" si="4"/>
        <v>Baja Actividad</v>
      </c>
      <c r="O134" t="str">
        <f t="shared" si="5"/>
        <v>Alto Sedentarismo</v>
      </c>
    </row>
    <row r="135" spans="1:15" x14ac:dyDescent="0.3">
      <c r="A135">
        <v>1927972279</v>
      </c>
      <c r="B135" t="s">
        <v>32</v>
      </c>
      <c r="C135">
        <v>149</v>
      </c>
      <c r="D135" t="s">
        <v>93</v>
      </c>
      <c r="E135">
        <v>0</v>
      </c>
      <c r="F135">
        <v>0</v>
      </c>
      <c r="G135" t="s">
        <v>93</v>
      </c>
      <c r="H135">
        <v>0</v>
      </c>
      <c r="I135">
        <v>0</v>
      </c>
      <c r="J135">
        <v>0</v>
      </c>
      <c r="K135">
        <v>10</v>
      </c>
      <c r="L135">
        <v>1430</v>
      </c>
      <c r="M135">
        <v>2093</v>
      </c>
      <c r="N135" t="str">
        <f t="shared" si="4"/>
        <v>Baja Actividad</v>
      </c>
      <c r="O135" t="str">
        <f t="shared" si="5"/>
        <v>Alto Sedentarismo</v>
      </c>
    </row>
    <row r="136" spans="1:15" x14ac:dyDescent="0.3">
      <c r="A136">
        <v>1927972279</v>
      </c>
      <c r="B136" t="s">
        <v>33</v>
      </c>
      <c r="C136">
        <v>2945</v>
      </c>
      <c r="D136" s="2">
        <v>203999996185303</v>
      </c>
      <c r="E136">
        <v>0</v>
      </c>
      <c r="F136">
        <v>0</v>
      </c>
      <c r="G136" s="2">
        <v>203999996185303</v>
      </c>
      <c r="H136">
        <v>0</v>
      </c>
      <c r="I136">
        <v>0</v>
      </c>
      <c r="J136">
        <v>0</v>
      </c>
      <c r="K136">
        <v>145</v>
      </c>
      <c r="L136">
        <v>1295</v>
      </c>
      <c r="M136">
        <v>2499</v>
      </c>
      <c r="N136" t="str">
        <f t="shared" si="4"/>
        <v>Baja Actividad</v>
      </c>
      <c r="O136" t="str">
        <f t="shared" si="5"/>
        <v>Alto Sedentarismo</v>
      </c>
    </row>
    <row r="137" spans="1:15" x14ac:dyDescent="0.3">
      <c r="A137">
        <v>1927972279</v>
      </c>
      <c r="B137" t="s">
        <v>35</v>
      </c>
      <c r="C137">
        <v>2090</v>
      </c>
      <c r="D137" s="2">
        <v>145000004768372</v>
      </c>
      <c r="E137" t="s">
        <v>74</v>
      </c>
      <c r="F137" t="s">
        <v>72</v>
      </c>
      <c r="G137" s="2">
        <v>113999998569489</v>
      </c>
      <c r="H137">
        <v>0</v>
      </c>
      <c r="I137">
        <v>1</v>
      </c>
      <c r="J137">
        <v>6</v>
      </c>
      <c r="K137">
        <v>75</v>
      </c>
      <c r="L137">
        <v>1358</v>
      </c>
      <c r="M137">
        <v>2324</v>
      </c>
      <c r="N137" t="str">
        <f t="shared" si="4"/>
        <v>Baja Actividad</v>
      </c>
      <c r="O137" t="str">
        <f t="shared" si="5"/>
        <v>Alto Sedentarismo</v>
      </c>
    </row>
    <row r="138" spans="1:15" x14ac:dyDescent="0.3">
      <c r="A138">
        <v>1927972279</v>
      </c>
      <c r="B138" t="s">
        <v>37</v>
      </c>
      <c r="C138">
        <v>152</v>
      </c>
      <c r="D138" t="s">
        <v>94</v>
      </c>
      <c r="E138">
        <v>0</v>
      </c>
      <c r="F138">
        <v>0</v>
      </c>
      <c r="G138" t="s">
        <v>94</v>
      </c>
      <c r="H138">
        <v>0</v>
      </c>
      <c r="I138">
        <v>0</v>
      </c>
      <c r="J138">
        <v>0</v>
      </c>
      <c r="K138">
        <v>12</v>
      </c>
      <c r="L138">
        <v>1303</v>
      </c>
      <c r="M138">
        <v>2100</v>
      </c>
      <c r="N138" t="str">
        <f t="shared" si="4"/>
        <v>Baja Actividad</v>
      </c>
      <c r="O138" t="str">
        <f t="shared" si="5"/>
        <v>Alto Sedentarismo</v>
      </c>
    </row>
    <row r="139" spans="1:15" x14ac:dyDescent="0.3">
      <c r="A139">
        <v>1927972279</v>
      </c>
      <c r="B139" t="s">
        <v>39</v>
      </c>
      <c r="C139">
        <v>3761</v>
      </c>
      <c r="D139" s="2">
        <v>259999990463257</v>
      </c>
      <c r="E139">
        <v>0</v>
      </c>
      <c r="F139">
        <v>0</v>
      </c>
      <c r="G139" s="2">
        <v>259999990463257</v>
      </c>
      <c r="H139">
        <v>0</v>
      </c>
      <c r="I139">
        <v>0</v>
      </c>
      <c r="J139">
        <v>0</v>
      </c>
      <c r="K139">
        <v>192</v>
      </c>
      <c r="L139">
        <v>1058</v>
      </c>
      <c r="M139">
        <v>2638</v>
      </c>
      <c r="N139" t="str">
        <f t="shared" si="4"/>
        <v>Baja Actividad</v>
      </c>
      <c r="O139" t="str">
        <f t="shared" si="5"/>
        <v>Alto Sedentarismo</v>
      </c>
    </row>
    <row r="140" spans="1:15" x14ac:dyDescent="0.3">
      <c r="A140">
        <v>1927972279</v>
      </c>
      <c r="B140" t="s">
        <v>41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1440</v>
      </c>
      <c r="M140">
        <v>2063</v>
      </c>
      <c r="N140" t="str">
        <f t="shared" si="4"/>
        <v>Baja Actividad</v>
      </c>
      <c r="O140" t="str">
        <f t="shared" si="5"/>
        <v>Alto Sedentarismo</v>
      </c>
    </row>
    <row r="141" spans="1:15" x14ac:dyDescent="0.3">
      <c r="A141">
        <v>1927972279</v>
      </c>
      <c r="B141" t="s">
        <v>42</v>
      </c>
      <c r="C141">
        <v>1675</v>
      </c>
      <c r="D141" s="2">
        <v>11599999666214</v>
      </c>
      <c r="E141">
        <v>0</v>
      </c>
      <c r="F141">
        <v>0</v>
      </c>
      <c r="G141" s="2">
        <v>11599999666214</v>
      </c>
      <c r="H141">
        <v>0</v>
      </c>
      <c r="I141">
        <v>0</v>
      </c>
      <c r="J141">
        <v>0</v>
      </c>
      <c r="K141">
        <v>95</v>
      </c>
      <c r="L141">
        <v>1167</v>
      </c>
      <c r="M141">
        <v>2351</v>
      </c>
      <c r="N141" t="str">
        <f t="shared" si="4"/>
        <v>Baja Actividad</v>
      </c>
      <c r="O141" t="str">
        <f t="shared" si="5"/>
        <v>Alto Sedentarismo</v>
      </c>
    </row>
    <row r="142" spans="1:15" x14ac:dyDescent="0.3">
      <c r="A142">
        <v>1927972279</v>
      </c>
      <c r="B142" t="s">
        <v>43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1440</v>
      </c>
      <c r="M142">
        <v>2063</v>
      </c>
      <c r="N142" t="str">
        <f t="shared" si="4"/>
        <v>Baja Actividad</v>
      </c>
      <c r="O142" t="str">
        <f t="shared" si="5"/>
        <v>Alto Sedentarismo</v>
      </c>
    </row>
    <row r="143" spans="1:15" x14ac:dyDescent="0.3">
      <c r="A143">
        <v>1927972279</v>
      </c>
      <c r="B143" t="s">
        <v>45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1440</v>
      </c>
      <c r="M143">
        <v>2064</v>
      </c>
      <c r="N143" t="str">
        <f t="shared" si="4"/>
        <v>Baja Actividad</v>
      </c>
      <c r="O143" t="str">
        <f t="shared" si="5"/>
        <v>Alto Sedentarismo</v>
      </c>
    </row>
    <row r="144" spans="1:15" x14ac:dyDescent="0.3">
      <c r="A144">
        <v>1927972279</v>
      </c>
      <c r="B144" s="1">
        <v>42374</v>
      </c>
      <c r="C144">
        <v>2704</v>
      </c>
      <c r="D144" s="2">
        <v>187000000476837</v>
      </c>
      <c r="E144" s="2">
        <v>100999999046326</v>
      </c>
      <c r="F144" t="s">
        <v>88</v>
      </c>
      <c r="G144" t="s">
        <v>95</v>
      </c>
      <c r="H144">
        <v>0</v>
      </c>
      <c r="I144">
        <v>14</v>
      </c>
      <c r="J144">
        <v>1</v>
      </c>
      <c r="K144">
        <v>70</v>
      </c>
      <c r="L144">
        <v>1355</v>
      </c>
      <c r="M144">
        <v>2411</v>
      </c>
      <c r="N144" t="str">
        <f t="shared" si="4"/>
        <v>Baja Actividad</v>
      </c>
      <c r="O144" t="str">
        <f t="shared" si="5"/>
        <v>Alto Sedentarismo</v>
      </c>
    </row>
    <row r="145" spans="1:15" x14ac:dyDescent="0.3">
      <c r="A145">
        <v>1927972279</v>
      </c>
      <c r="B145" s="1">
        <v>42405</v>
      </c>
      <c r="C145">
        <v>3790</v>
      </c>
      <c r="D145" s="2">
        <v>261999988555908</v>
      </c>
      <c r="E145" s="2">
        <v>11599999666214</v>
      </c>
      <c r="F145" t="s">
        <v>96</v>
      </c>
      <c r="G145" s="2">
        <v>11599999666214</v>
      </c>
      <c r="H145">
        <v>0</v>
      </c>
      <c r="I145">
        <v>16</v>
      </c>
      <c r="J145">
        <v>8</v>
      </c>
      <c r="K145">
        <v>94</v>
      </c>
      <c r="L145">
        <v>1322</v>
      </c>
      <c r="M145">
        <v>2505</v>
      </c>
      <c r="N145" t="str">
        <f t="shared" si="4"/>
        <v>Baja Actividad</v>
      </c>
      <c r="O145" t="str">
        <f t="shared" si="5"/>
        <v>Alto Sedentarismo</v>
      </c>
    </row>
    <row r="146" spans="1:15" x14ac:dyDescent="0.3">
      <c r="A146">
        <v>1927972279</v>
      </c>
      <c r="B146" s="1">
        <v>42434</v>
      </c>
      <c r="C146">
        <v>1326</v>
      </c>
      <c r="D146" t="s">
        <v>40</v>
      </c>
      <c r="E146" t="s">
        <v>97</v>
      </c>
      <c r="F146">
        <v>0</v>
      </c>
      <c r="G146" t="s">
        <v>98</v>
      </c>
      <c r="H146">
        <v>0</v>
      </c>
      <c r="I146">
        <v>10</v>
      </c>
      <c r="J146">
        <v>0</v>
      </c>
      <c r="K146">
        <v>17</v>
      </c>
      <c r="L146">
        <v>1413</v>
      </c>
      <c r="M146">
        <v>2195</v>
      </c>
      <c r="N146" t="str">
        <f t="shared" si="4"/>
        <v>Baja Actividad</v>
      </c>
      <c r="O146" t="str">
        <f t="shared" si="5"/>
        <v>Alto Sedentarismo</v>
      </c>
    </row>
    <row r="147" spans="1:15" x14ac:dyDescent="0.3">
      <c r="A147">
        <v>1927972279</v>
      </c>
      <c r="B147" s="1">
        <v>42465</v>
      </c>
      <c r="C147">
        <v>1786</v>
      </c>
      <c r="D147" s="2">
        <v>124000000953674</v>
      </c>
      <c r="E147">
        <v>0</v>
      </c>
      <c r="F147">
        <v>0</v>
      </c>
      <c r="G147" s="2">
        <v>124000000953674</v>
      </c>
      <c r="H147">
        <v>0</v>
      </c>
      <c r="I147">
        <v>0</v>
      </c>
      <c r="J147">
        <v>0</v>
      </c>
      <c r="K147">
        <v>87</v>
      </c>
      <c r="L147">
        <v>1353</v>
      </c>
      <c r="M147">
        <v>2338</v>
      </c>
      <c r="N147" t="str">
        <f t="shared" si="4"/>
        <v>Baja Actividad</v>
      </c>
      <c r="O147" t="str">
        <f t="shared" si="5"/>
        <v>Alto Sedentarismo</v>
      </c>
    </row>
    <row r="148" spans="1:15" x14ac:dyDescent="0.3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1440</v>
      </c>
      <c r="M148">
        <v>2063</v>
      </c>
      <c r="N148" t="str">
        <f t="shared" si="4"/>
        <v>Baja Actividad</v>
      </c>
      <c r="O148" t="str">
        <f t="shared" si="5"/>
        <v>Alto Sedentarismo</v>
      </c>
    </row>
    <row r="149" spans="1:15" x14ac:dyDescent="0.3">
      <c r="A149">
        <v>1927972279</v>
      </c>
      <c r="B149" s="1">
        <v>42526</v>
      </c>
      <c r="C149">
        <v>2091</v>
      </c>
      <c r="D149" s="2">
        <v>145000004768372</v>
      </c>
      <c r="E149">
        <v>0</v>
      </c>
      <c r="F149">
        <v>0</v>
      </c>
      <c r="G149" s="2">
        <v>145000004768372</v>
      </c>
      <c r="H149">
        <v>0</v>
      </c>
      <c r="I149">
        <v>0</v>
      </c>
      <c r="J149">
        <v>0</v>
      </c>
      <c r="K149">
        <v>108</v>
      </c>
      <c r="L149">
        <v>1332</v>
      </c>
      <c r="M149">
        <v>2383</v>
      </c>
      <c r="N149" t="str">
        <f t="shared" si="4"/>
        <v>Baja Actividad</v>
      </c>
      <c r="O149" t="str">
        <f t="shared" si="5"/>
        <v>Alto Sedentarismo</v>
      </c>
    </row>
    <row r="150" spans="1:15" x14ac:dyDescent="0.3">
      <c r="A150">
        <v>1927972279</v>
      </c>
      <c r="B150" s="1">
        <v>42556</v>
      </c>
      <c r="C150">
        <v>1510</v>
      </c>
      <c r="D150" s="2">
        <v>103999996185303</v>
      </c>
      <c r="E150">
        <v>0</v>
      </c>
      <c r="F150">
        <v>0</v>
      </c>
      <c r="G150" s="2">
        <v>103999996185303</v>
      </c>
      <c r="H150">
        <v>0</v>
      </c>
      <c r="I150">
        <v>0</v>
      </c>
      <c r="J150">
        <v>0</v>
      </c>
      <c r="K150">
        <v>48</v>
      </c>
      <c r="L150">
        <v>1392</v>
      </c>
      <c r="M150">
        <v>2229</v>
      </c>
      <c r="N150" t="str">
        <f t="shared" si="4"/>
        <v>Baja Actividad</v>
      </c>
      <c r="O150" t="str">
        <f t="shared" si="5"/>
        <v>Alto Sedentarismo</v>
      </c>
    </row>
    <row r="151" spans="1:15" x14ac:dyDescent="0.3">
      <c r="A151">
        <v>1927972279</v>
      </c>
      <c r="B151" s="1">
        <v>42587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1440</v>
      </c>
      <c r="M151">
        <v>2063</v>
      </c>
      <c r="N151" t="str">
        <f t="shared" si="4"/>
        <v>Baja Actividad</v>
      </c>
      <c r="O151" t="str">
        <f t="shared" si="5"/>
        <v>Alto Sedentarismo</v>
      </c>
    </row>
    <row r="152" spans="1:15" x14ac:dyDescent="0.3">
      <c r="A152">
        <v>1927972279</v>
      </c>
      <c r="B152" s="1">
        <v>42618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1440</v>
      </c>
      <c r="M152">
        <v>2063</v>
      </c>
      <c r="N152" t="str">
        <f t="shared" si="4"/>
        <v>Baja Actividad</v>
      </c>
      <c r="O152" t="str">
        <f t="shared" si="5"/>
        <v>Alto Sedentarismo</v>
      </c>
    </row>
    <row r="153" spans="1:15" x14ac:dyDescent="0.3">
      <c r="A153">
        <v>1927972279</v>
      </c>
      <c r="B153" s="1">
        <v>42648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1440</v>
      </c>
      <c r="M153">
        <v>2063</v>
      </c>
      <c r="N153" t="str">
        <f t="shared" si="4"/>
        <v>Baja Actividad</v>
      </c>
      <c r="O153" t="str">
        <f t="shared" si="5"/>
        <v>Alto Sedentarismo</v>
      </c>
    </row>
    <row r="154" spans="1:15" x14ac:dyDescent="0.3">
      <c r="A154">
        <v>1927972279</v>
      </c>
      <c r="B154" s="1">
        <v>42679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1440</v>
      </c>
      <c r="M154">
        <v>2063</v>
      </c>
      <c r="N154" t="str">
        <f t="shared" si="4"/>
        <v>Baja Actividad</v>
      </c>
      <c r="O154" t="str">
        <f t="shared" si="5"/>
        <v>Alto Sedentarismo</v>
      </c>
    </row>
    <row r="155" spans="1:15" x14ac:dyDescent="0.3">
      <c r="A155">
        <v>1927972279</v>
      </c>
      <c r="B155" s="1">
        <v>42709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966</v>
      </c>
      <c r="M155">
        <v>1383</v>
      </c>
      <c r="N155" t="str">
        <f t="shared" si="4"/>
        <v>Baja Actividad</v>
      </c>
      <c r="O155" t="str">
        <f t="shared" si="5"/>
        <v>Alto Sedentarismo</v>
      </c>
    </row>
    <row r="156" spans="1:15" x14ac:dyDescent="0.3">
      <c r="A156">
        <v>2022484408</v>
      </c>
      <c r="B156" s="1">
        <v>42708</v>
      </c>
      <c r="C156">
        <v>11875</v>
      </c>
      <c r="D156" s="2">
        <v>834000015258789</v>
      </c>
      <c r="E156" s="2">
        <v>330999994277954</v>
      </c>
      <c r="F156" t="s">
        <v>99</v>
      </c>
      <c r="G156" s="2">
        <v>426000022888184</v>
      </c>
      <c r="H156">
        <v>0</v>
      </c>
      <c r="I156">
        <v>42</v>
      </c>
      <c r="J156">
        <v>14</v>
      </c>
      <c r="K156">
        <v>227</v>
      </c>
      <c r="L156">
        <v>1157</v>
      </c>
      <c r="M156">
        <v>2390</v>
      </c>
      <c r="N156" t="str">
        <f t="shared" si="4"/>
        <v>Alta Actividad</v>
      </c>
      <c r="O156" t="str">
        <f t="shared" si="5"/>
        <v>Alto Sedentarismo</v>
      </c>
    </row>
    <row r="157" spans="1:15" x14ac:dyDescent="0.3">
      <c r="A157">
        <v>2022484408</v>
      </c>
      <c r="B157" t="s">
        <v>15</v>
      </c>
      <c r="C157">
        <v>12024</v>
      </c>
      <c r="D157" t="s">
        <v>13</v>
      </c>
      <c r="E157" s="2">
        <v>299000000953674</v>
      </c>
      <c r="F157" t="s">
        <v>93</v>
      </c>
      <c r="G157" s="2">
        <v>540999984741211</v>
      </c>
      <c r="H157">
        <v>0</v>
      </c>
      <c r="I157">
        <v>43</v>
      </c>
      <c r="J157">
        <v>5</v>
      </c>
      <c r="K157">
        <v>292</v>
      </c>
      <c r="L157">
        <v>1100</v>
      </c>
      <c r="M157">
        <v>2601</v>
      </c>
      <c r="N157" t="str">
        <f t="shared" si="4"/>
        <v>Alta Actividad</v>
      </c>
      <c r="O157" t="str">
        <f t="shared" si="5"/>
        <v>Alto Sedentarismo</v>
      </c>
    </row>
    <row r="158" spans="1:15" x14ac:dyDescent="0.3">
      <c r="A158">
        <v>2022484408</v>
      </c>
      <c r="B158" t="s">
        <v>17</v>
      </c>
      <c r="C158">
        <v>10690</v>
      </c>
      <c r="D158" t="s">
        <v>100</v>
      </c>
      <c r="E158" s="2">
        <v>248000001907349</v>
      </c>
      <c r="F158" t="s">
        <v>36</v>
      </c>
      <c r="G158" s="2">
        <v>482000017166138</v>
      </c>
      <c r="H158">
        <v>0</v>
      </c>
      <c r="I158">
        <v>32</v>
      </c>
      <c r="J158">
        <v>3</v>
      </c>
      <c r="K158">
        <v>257</v>
      </c>
      <c r="L158">
        <v>1148</v>
      </c>
      <c r="M158">
        <v>2312</v>
      </c>
      <c r="N158" t="str">
        <f t="shared" si="4"/>
        <v>Alta Actividad</v>
      </c>
      <c r="O158" t="str">
        <f t="shared" si="5"/>
        <v>Alto Sedentarismo</v>
      </c>
    </row>
    <row r="159" spans="1:15" x14ac:dyDescent="0.3">
      <c r="A159">
        <v>2022484408</v>
      </c>
      <c r="B159" t="s">
        <v>19</v>
      </c>
      <c r="C159">
        <v>11034</v>
      </c>
      <c r="D159" s="2">
        <v>802999973297119</v>
      </c>
      <c r="E159" s="2">
        <v>194000005722046</v>
      </c>
      <c r="F159" t="s">
        <v>75</v>
      </c>
      <c r="G159" s="2">
        <v>578000020980835</v>
      </c>
      <c r="H159">
        <v>0</v>
      </c>
      <c r="I159">
        <v>27</v>
      </c>
      <c r="J159">
        <v>9</v>
      </c>
      <c r="K159">
        <v>282</v>
      </c>
      <c r="L159">
        <v>1122</v>
      </c>
      <c r="M159">
        <v>2525</v>
      </c>
      <c r="N159" t="str">
        <f t="shared" si="4"/>
        <v>Alta Actividad</v>
      </c>
      <c r="O159" t="str">
        <f t="shared" si="5"/>
        <v>Alto Sedentarismo</v>
      </c>
    </row>
    <row r="160" spans="1:15" x14ac:dyDescent="0.3">
      <c r="A160">
        <v>2022484408</v>
      </c>
      <c r="B160" t="s">
        <v>20</v>
      </c>
      <c r="C160">
        <v>10100</v>
      </c>
      <c r="D160" s="2">
        <v>709000015258789</v>
      </c>
      <c r="E160" s="2">
        <v>315000009536743</v>
      </c>
      <c r="F160" t="s">
        <v>14</v>
      </c>
      <c r="G160" s="2">
        <v>339000010490417</v>
      </c>
      <c r="H160">
        <v>0</v>
      </c>
      <c r="I160">
        <v>41</v>
      </c>
      <c r="J160">
        <v>11</v>
      </c>
      <c r="K160">
        <v>151</v>
      </c>
      <c r="L160">
        <v>1237</v>
      </c>
      <c r="M160">
        <v>2177</v>
      </c>
      <c r="N160" t="str">
        <f t="shared" si="4"/>
        <v>Alta Actividad</v>
      </c>
      <c r="O160" t="str">
        <f t="shared" si="5"/>
        <v>Alto Sedentarismo</v>
      </c>
    </row>
    <row r="161" spans="1:15" x14ac:dyDescent="0.3">
      <c r="A161">
        <v>2022484408</v>
      </c>
      <c r="B161" t="s">
        <v>22</v>
      </c>
      <c r="C161">
        <v>15112</v>
      </c>
      <c r="D161" s="2">
        <v>113999996185303</v>
      </c>
      <c r="E161" s="2">
        <v>386999988555908</v>
      </c>
      <c r="F161" t="s">
        <v>101</v>
      </c>
      <c r="G161" s="2">
        <v>688000011444092</v>
      </c>
      <c r="H161">
        <v>0</v>
      </c>
      <c r="I161">
        <v>28</v>
      </c>
      <c r="J161">
        <v>29</v>
      </c>
      <c r="K161">
        <v>331</v>
      </c>
      <c r="L161">
        <v>1052</v>
      </c>
      <c r="M161">
        <v>2782</v>
      </c>
      <c r="N161" t="str">
        <f t="shared" si="4"/>
        <v>Alta Actividad</v>
      </c>
      <c r="O161" t="str">
        <f t="shared" si="5"/>
        <v>Alto Sedentarismo</v>
      </c>
    </row>
    <row r="162" spans="1:15" x14ac:dyDescent="0.3">
      <c r="A162">
        <v>2022484408</v>
      </c>
      <c r="B162" t="s">
        <v>24</v>
      </c>
      <c r="C162">
        <v>14131</v>
      </c>
      <c r="D162" s="2">
        <v>100699996948242</v>
      </c>
      <c r="E162" s="2">
        <v>364000010490417</v>
      </c>
      <c r="F162" t="s">
        <v>87</v>
      </c>
      <c r="G162" s="2">
        <v>630000019073486</v>
      </c>
      <c r="H162">
        <v>0</v>
      </c>
      <c r="I162">
        <v>48</v>
      </c>
      <c r="J162">
        <v>3</v>
      </c>
      <c r="K162">
        <v>311</v>
      </c>
      <c r="L162">
        <v>1078</v>
      </c>
      <c r="M162">
        <v>2770</v>
      </c>
      <c r="N162" t="str">
        <f t="shared" si="4"/>
        <v>Alta Actividad</v>
      </c>
      <c r="O162" t="str">
        <f t="shared" si="5"/>
        <v>Alto Sedentarismo</v>
      </c>
    </row>
    <row r="163" spans="1:15" x14ac:dyDescent="0.3">
      <c r="A163">
        <v>2022484408</v>
      </c>
      <c r="B163" t="s">
        <v>27</v>
      </c>
      <c r="C163">
        <v>11548</v>
      </c>
      <c r="D163" s="2">
        <v>852999973297119</v>
      </c>
      <c r="E163" s="2">
        <v>328999996185303</v>
      </c>
      <c r="F163" t="s">
        <v>72</v>
      </c>
      <c r="G163">
        <v>5</v>
      </c>
      <c r="H163">
        <v>0</v>
      </c>
      <c r="I163">
        <v>31</v>
      </c>
      <c r="J163">
        <v>7</v>
      </c>
      <c r="K163">
        <v>250</v>
      </c>
      <c r="L163">
        <v>1152</v>
      </c>
      <c r="M163">
        <v>2489</v>
      </c>
      <c r="N163" t="str">
        <f t="shared" si="4"/>
        <v>Alta Actividad</v>
      </c>
      <c r="O163" t="str">
        <f t="shared" si="5"/>
        <v>Alto Sedentarismo</v>
      </c>
    </row>
    <row r="164" spans="1:15" x14ac:dyDescent="0.3">
      <c r="A164">
        <v>2022484408</v>
      </c>
      <c r="B164" t="s">
        <v>28</v>
      </c>
      <c r="C164">
        <v>15112</v>
      </c>
      <c r="D164" s="2">
        <v>106700000762939</v>
      </c>
      <c r="E164" s="2">
        <v>333999991416931</v>
      </c>
      <c r="F164" s="2">
        <v>192999994754791</v>
      </c>
      <c r="G164" s="2">
        <v>540000009536743</v>
      </c>
      <c r="H164">
        <v>0</v>
      </c>
      <c r="I164">
        <v>48</v>
      </c>
      <c r="J164">
        <v>63</v>
      </c>
      <c r="K164">
        <v>276</v>
      </c>
      <c r="L164">
        <v>1053</v>
      </c>
      <c r="M164">
        <v>2897</v>
      </c>
      <c r="N164" t="str">
        <f t="shared" si="4"/>
        <v>Alta Actividad</v>
      </c>
      <c r="O164" t="str">
        <f t="shared" si="5"/>
        <v>Alto Sedentarismo</v>
      </c>
    </row>
    <row r="165" spans="1:15" x14ac:dyDescent="0.3">
      <c r="A165">
        <v>2022484408</v>
      </c>
      <c r="B165" t="s">
        <v>30</v>
      </c>
      <c r="C165">
        <v>12453</v>
      </c>
      <c r="D165" s="2">
        <v>873999977111816</v>
      </c>
      <c r="E165" s="2">
        <v>332999992370605</v>
      </c>
      <c r="F165" s="2">
        <v>111000001430511</v>
      </c>
      <c r="G165" s="2">
        <v>430999994277954</v>
      </c>
      <c r="H165">
        <v>0</v>
      </c>
      <c r="I165">
        <v>104</v>
      </c>
      <c r="J165">
        <v>53</v>
      </c>
      <c r="K165">
        <v>255</v>
      </c>
      <c r="L165">
        <v>1028</v>
      </c>
      <c r="M165">
        <v>3158</v>
      </c>
      <c r="N165" t="str">
        <f t="shared" si="4"/>
        <v>Alta Actividad</v>
      </c>
      <c r="O165" t="str">
        <f t="shared" si="5"/>
        <v>Alto Sedentarismo</v>
      </c>
    </row>
    <row r="166" spans="1:15" x14ac:dyDescent="0.3">
      <c r="A166">
        <v>2022484408</v>
      </c>
      <c r="B166" t="s">
        <v>32</v>
      </c>
      <c r="C166">
        <v>12954</v>
      </c>
      <c r="D166" s="2">
        <v>932999992370605</v>
      </c>
      <c r="E166" s="2">
        <v>442999982833862</v>
      </c>
      <c r="F166" t="s">
        <v>102</v>
      </c>
      <c r="G166" s="2">
        <v>446999979019165</v>
      </c>
      <c r="H166">
        <v>0</v>
      </c>
      <c r="I166">
        <v>52</v>
      </c>
      <c r="J166">
        <v>10</v>
      </c>
      <c r="K166">
        <v>273</v>
      </c>
      <c r="L166">
        <v>1105</v>
      </c>
      <c r="M166">
        <v>2638</v>
      </c>
      <c r="N166" t="str">
        <f t="shared" si="4"/>
        <v>Alta Actividad</v>
      </c>
      <c r="O166" t="str">
        <f t="shared" si="5"/>
        <v>Alto Sedentarismo</v>
      </c>
    </row>
    <row r="167" spans="1:15" x14ac:dyDescent="0.3">
      <c r="A167">
        <v>2022484408</v>
      </c>
      <c r="B167" t="s">
        <v>33</v>
      </c>
      <c r="C167">
        <v>6001</v>
      </c>
      <c r="D167" s="2">
        <v>421000003814697</v>
      </c>
      <c r="E167">
        <v>0</v>
      </c>
      <c r="F167">
        <v>0</v>
      </c>
      <c r="G167" s="2">
        <v>421000003814697</v>
      </c>
      <c r="H167">
        <v>0</v>
      </c>
      <c r="I167">
        <v>0</v>
      </c>
      <c r="J167">
        <v>0</v>
      </c>
      <c r="K167">
        <v>249</v>
      </c>
      <c r="L167">
        <v>1191</v>
      </c>
      <c r="M167">
        <v>2069</v>
      </c>
      <c r="N167" t="str">
        <f t="shared" si="4"/>
        <v>Baja Actividad</v>
      </c>
      <c r="O167" t="str">
        <f t="shared" si="5"/>
        <v>Alto Sedentarismo</v>
      </c>
    </row>
    <row r="168" spans="1:15" x14ac:dyDescent="0.3">
      <c r="A168">
        <v>2022484408</v>
      </c>
      <c r="B168" t="s">
        <v>35</v>
      </c>
      <c r="C168">
        <v>13481</v>
      </c>
      <c r="D168" s="2">
        <v>102799997329712</v>
      </c>
      <c r="E168" s="2">
        <v>455000019073486</v>
      </c>
      <c r="F168" s="2">
        <v>114999997615814</v>
      </c>
      <c r="G168" s="2">
        <v>457999992370605</v>
      </c>
      <c r="H168">
        <v>0</v>
      </c>
      <c r="I168">
        <v>37</v>
      </c>
      <c r="J168">
        <v>26</v>
      </c>
      <c r="K168">
        <v>216</v>
      </c>
      <c r="L168">
        <v>1161</v>
      </c>
      <c r="M168">
        <v>2529</v>
      </c>
      <c r="N168" t="str">
        <f t="shared" si="4"/>
        <v>Alta Actividad</v>
      </c>
      <c r="O168" t="str">
        <f t="shared" si="5"/>
        <v>Alto Sedentarismo</v>
      </c>
    </row>
    <row r="169" spans="1:15" x14ac:dyDescent="0.3">
      <c r="A169">
        <v>2022484408</v>
      </c>
      <c r="B169" t="s">
        <v>37</v>
      </c>
      <c r="C169">
        <v>11369</v>
      </c>
      <c r="D169" s="2">
        <v>801000022888184</v>
      </c>
      <c r="E169" s="2">
        <v>332999992370605</v>
      </c>
      <c r="F169" t="s">
        <v>62</v>
      </c>
      <c r="G169" s="2">
        <v>446000003814697</v>
      </c>
      <c r="H169">
        <v>0</v>
      </c>
      <c r="I169">
        <v>44</v>
      </c>
      <c r="J169">
        <v>8</v>
      </c>
      <c r="K169">
        <v>217</v>
      </c>
      <c r="L169">
        <v>1171</v>
      </c>
      <c r="M169">
        <v>2470</v>
      </c>
      <c r="N169" t="str">
        <f t="shared" si="4"/>
        <v>Alta Actividad</v>
      </c>
      <c r="O169" t="str">
        <f t="shared" si="5"/>
        <v>Alto Sedentarismo</v>
      </c>
    </row>
    <row r="170" spans="1:15" x14ac:dyDescent="0.3">
      <c r="A170">
        <v>2022484408</v>
      </c>
      <c r="B170" t="s">
        <v>39</v>
      </c>
      <c r="C170">
        <v>10119</v>
      </c>
      <c r="D170" s="2">
        <v>719000005722046</v>
      </c>
      <c r="E170" s="2">
        <v>142999994754791</v>
      </c>
      <c r="F170" t="s">
        <v>101</v>
      </c>
      <c r="G170" s="2">
        <v>51100001335144</v>
      </c>
      <c r="H170">
        <v>0</v>
      </c>
      <c r="I170">
        <v>55</v>
      </c>
      <c r="J170">
        <v>24</v>
      </c>
      <c r="K170">
        <v>275</v>
      </c>
      <c r="L170">
        <v>1086</v>
      </c>
      <c r="M170">
        <v>2793</v>
      </c>
      <c r="N170" t="str">
        <f t="shared" si="4"/>
        <v>Alta Actividad</v>
      </c>
      <c r="O170" t="str">
        <f t="shared" si="5"/>
        <v>Alto Sedentarismo</v>
      </c>
    </row>
    <row r="171" spans="1:15" x14ac:dyDescent="0.3">
      <c r="A171">
        <v>2022484408</v>
      </c>
      <c r="B171" t="s">
        <v>41</v>
      </c>
      <c r="C171">
        <v>10159</v>
      </c>
      <c r="D171" s="2">
        <v>713000011444092</v>
      </c>
      <c r="E171" s="2">
        <v>103999996185303</v>
      </c>
      <c r="F171" t="s">
        <v>52</v>
      </c>
      <c r="G171" s="2">
        <v>511999988555908</v>
      </c>
      <c r="H171">
        <v>0</v>
      </c>
      <c r="I171">
        <v>19</v>
      </c>
      <c r="J171">
        <v>20</v>
      </c>
      <c r="K171">
        <v>282</v>
      </c>
      <c r="L171">
        <v>1119</v>
      </c>
      <c r="M171">
        <v>2463</v>
      </c>
      <c r="N171" t="str">
        <f t="shared" si="4"/>
        <v>Alta Actividad</v>
      </c>
      <c r="O171" t="str">
        <f t="shared" si="5"/>
        <v>Alto Sedentarismo</v>
      </c>
    </row>
    <row r="172" spans="1:15" x14ac:dyDescent="0.3">
      <c r="A172">
        <v>2022484408</v>
      </c>
      <c r="B172" t="s">
        <v>42</v>
      </c>
      <c r="C172">
        <v>10140</v>
      </c>
      <c r="D172" s="2">
        <v>711999988555908</v>
      </c>
      <c r="E172" t="s">
        <v>21</v>
      </c>
      <c r="F172" s="2">
        <v>133000004291534</v>
      </c>
      <c r="G172" s="2">
        <v>53899998664856</v>
      </c>
      <c r="H172">
        <v>0</v>
      </c>
      <c r="I172">
        <v>6</v>
      </c>
      <c r="J172">
        <v>20</v>
      </c>
      <c r="K172">
        <v>291</v>
      </c>
      <c r="L172">
        <v>1123</v>
      </c>
      <c r="M172">
        <v>2296</v>
      </c>
      <c r="N172" t="str">
        <f t="shared" si="4"/>
        <v>Alta Actividad</v>
      </c>
      <c r="O172" t="str">
        <f t="shared" si="5"/>
        <v>Alto Sedentarismo</v>
      </c>
    </row>
    <row r="173" spans="1:15" x14ac:dyDescent="0.3">
      <c r="A173">
        <v>2022484408</v>
      </c>
      <c r="B173" t="s">
        <v>43</v>
      </c>
      <c r="C173">
        <v>10245</v>
      </c>
      <c r="D173" s="2">
        <v>719000005722046</v>
      </c>
      <c r="E173" t="s">
        <v>29</v>
      </c>
      <c r="F173" s="2">
        <v>121000003814697</v>
      </c>
      <c r="G173" t="s">
        <v>103</v>
      </c>
      <c r="H173">
        <v>0</v>
      </c>
      <c r="I173">
        <v>21</v>
      </c>
      <c r="J173">
        <v>40</v>
      </c>
      <c r="K173">
        <v>281</v>
      </c>
      <c r="L173">
        <v>1098</v>
      </c>
      <c r="M173">
        <v>2611</v>
      </c>
      <c r="N173" t="str">
        <f t="shared" si="4"/>
        <v>Alta Actividad</v>
      </c>
      <c r="O173" t="str">
        <f t="shared" si="5"/>
        <v>Alto Sedentarismo</v>
      </c>
    </row>
    <row r="174" spans="1:15" x14ac:dyDescent="0.3">
      <c r="A174">
        <v>2022484408</v>
      </c>
      <c r="B174" t="s">
        <v>45</v>
      </c>
      <c r="C174">
        <v>18387</v>
      </c>
      <c r="D174" s="2">
        <v>129099998474121</v>
      </c>
      <c r="E174" t="s">
        <v>104</v>
      </c>
      <c r="F174" s="2">
        <v>139999997615814</v>
      </c>
      <c r="G174" s="2">
        <v>105699996948242</v>
      </c>
      <c r="H174">
        <v>0</v>
      </c>
      <c r="I174">
        <v>13</v>
      </c>
      <c r="J174">
        <v>23</v>
      </c>
      <c r="K174">
        <v>361</v>
      </c>
      <c r="L174">
        <v>1043</v>
      </c>
      <c r="M174">
        <v>2732</v>
      </c>
      <c r="N174" t="str">
        <f t="shared" si="4"/>
        <v>Alta Actividad</v>
      </c>
      <c r="O174" t="str">
        <f t="shared" si="5"/>
        <v>Alto Sedentarismo</v>
      </c>
    </row>
    <row r="175" spans="1:15" x14ac:dyDescent="0.3">
      <c r="A175">
        <v>2022484408</v>
      </c>
      <c r="B175" s="1">
        <v>42374</v>
      </c>
      <c r="C175">
        <v>10538</v>
      </c>
      <c r="D175" s="2">
        <v>740000009536743</v>
      </c>
      <c r="E175" s="2">
        <v>194000005722046</v>
      </c>
      <c r="F175" t="s">
        <v>105</v>
      </c>
      <c r="G175" t="s">
        <v>106</v>
      </c>
      <c r="H175">
        <v>0</v>
      </c>
      <c r="I175">
        <v>25</v>
      </c>
      <c r="J175">
        <v>28</v>
      </c>
      <c r="K175">
        <v>245</v>
      </c>
      <c r="L175">
        <v>1142</v>
      </c>
      <c r="M175">
        <v>2380</v>
      </c>
      <c r="N175" t="str">
        <f t="shared" si="4"/>
        <v>Alta Actividad</v>
      </c>
      <c r="O175" t="str">
        <f t="shared" si="5"/>
        <v>Alto Sedentarismo</v>
      </c>
    </row>
    <row r="176" spans="1:15" x14ac:dyDescent="0.3">
      <c r="A176">
        <v>2022484408</v>
      </c>
      <c r="B176" s="1">
        <v>42405</v>
      </c>
      <c r="C176">
        <v>10379</v>
      </c>
      <c r="D176" s="2">
        <v>728999996185303</v>
      </c>
      <c r="E176" s="2">
        <v>260999989509583</v>
      </c>
      <c r="F176" t="s">
        <v>107</v>
      </c>
      <c r="G176" s="2">
        <v>432999992370605</v>
      </c>
      <c r="H176">
        <v>0</v>
      </c>
      <c r="I176">
        <v>36</v>
      </c>
      <c r="J176">
        <v>8</v>
      </c>
      <c r="K176">
        <v>277</v>
      </c>
      <c r="L176">
        <v>1119</v>
      </c>
      <c r="M176">
        <v>2473</v>
      </c>
      <c r="N176" t="str">
        <f t="shared" si="4"/>
        <v>Alta Actividad</v>
      </c>
      <c r="O176" t="str">
        <f t="shared" si="5"/>
        <v>Alto Sedentarismo</v>
      </c>
    </row>
    <row r="177" spans="1:15" x14ac:dyDescent="0.3">
      <c r="A177">
        <v>2022484408</v>
      </c>
      <c r="B177" s="1">
        <v>42434</v>
      </c>
      <c r="C177">
        <v>12183</v>
      </c>
      <c r="D177" s="2">
        <v>873999977111816</v>
      </c>
      <c r="E177" s="2">
        <v>399000000953674</v>
      </c>
      <c r="F177" t="s">
        <v>108</v>
      </c>
      <c r="G177" s="2">
        <v>428000020980835</v>
      </c>
      <c r="H177">
        <v>0</v>
      </c>
      <c r="I177">
        <v>72</v>
      </c>
      <c r="J177">
        <v>14</v>
      </c>
      <c r="K177">
        <v>250</v>
      </c>
      <c r="L177">
        <v>1104</v>
      </c>
      <c r="M177">
        <v>2752</v>
      </c>
      <c r="N177" t="str">
        <f t="shared" si="4"/>
        <v>Alta Actividad</v>
      </c>
      <c r="O177" t="str">
        <f t="shared" si="5"/>
        <v>Alto Sedentarismo</v>
      </c>
    </row>
    <row r="178" spans="1:15" x14ac:dyDescent="0.3">
      <c r="A178">
        <v>2022484408</v>
      </c>
      <c r="B178" s="1">
        <v>42465</v>
      </c>
      <c r="C178">
        <v>11768</v>
      </c>
      <c r="D178" s="2">
        <v>828999996185303</v>
      </c>
      <c r="E178" s="2">
        <v>250999999046326</v>
      </c>
      <c r="F178" t="s">
        <v>109</v>
      </c>
      <c r="G178" s="2">
        <v>484999990463257</v>
      </c>
      <c r="H178">
        <v>0</v>
      </c>
      <c r="I178">
        <v>36</v>
      </c>
      <c r="J178">
        <v>27</v>
      </c>
      <c r="K178">
        <v>272</v>
      </c>
      <c r="L178">
        <v>1105</v>
      </c>
      <c r="M178">
        <v>2649</v>
      </c>
      <c r="N178" t="str">
        <f t="shared" si="4"/>
        <v>Alta Actividad</v>
      </c>
      <c r="O178" t="str">
        <f t="shared" si="5"/>
        <v>Alto Sedentarismo</v>
      </c>
    </row>
    <row r="179" spans="1:15" x14ac:dyDescent="0.3">
      <c r="A179">
        <v>2022484408</v>
      </c>
      <c r="B179" s="1">
        <v>42495</v>
      </c>
      <c r="C179">
        <v>11895</v>
      </c>
      <c r="D179" s="2">
        <v>835000038146973</v>
      </c>
      <c r="E179" s="2">
        <v>278999996185303</v>
      </c>
      <c r="F179" t="s">
        <v>58</v>
      </c>
      <c r="G179" s="2">
        <v>469999980926514</v>
      </c>
      <c r="H179">
        <v>0</v>
      </c>
      <c r="I179">
        <v>55</v>
      </c>
      <c r="J179">
        <v>20</v>
      </c>
      <c r="K179">
        <v>253</v>
      </c>
      <c r="L179">
        <v>1112</v>
      </c>
      <c r="M179">
        <v>2609</v>
      </c>
      <c r="N179" t="str">
        <f t="shared" si="4"/>
        <v>Alta Actividad</v>
      </c>
      <c r="O179" t="str">
        <f t="shared" si="5"/>
        <v>Alto Sedentarismo</v>
      </c>
    </row>
    <row r="180" spans="1:15" x14ac:dyDescent="0.3">
      <c r="A180">
        <v>2022484408</v>
      </c>
      <c r="B180" s="1">
        <v>42526</v>
      </c>
      <c r="C180">
        <v>10227</v>
      </c>
      <c r="D180" s="2">
        <v>717999982833862</v>
      </c>
      <c r="E180" s="2">
        <v>187000000476837</v>
      </c>
      <c r="F180" t="s">
        <v>110</v>
      </c>
      <c r="G180" s="2">
        <v>46399998664856</v>
      </c>
      <c r="H180">
        <v>0</v>
      </c>
      <c r="I180">
        <v>24</v>
      </c>
      <c r="J180">
        <v>17</v>
      </c>
      <c r="K180">
        <v>295</v>
      </c>
      <c r="L180">
        <v>1104</v>
      </c>
      <c r="M180">
        <v>2498</v>
      </c>
      <c r="N180" t="str">
        <f t="shared" si="4"/>
        <v>Alta Actividad</v>
      </c>
      <c r="O180" t="str">
        <f t="shared" si="5"/>
        <v>Alto Sedentarismo</v>
      </c>
    </row>
    <row r="181" spans="1:15" x14ac:dyDescent="0.3">
      <c r="A181">
        <v>2022484408</v>
      </c>
      <c r="B181" s="1">
        <v>42556</v>
      </c>
      <c r="C181">
        <v>6708</v>
      </c>
      <c r="D181" s="2">
        <v>471000003814697</v>
      </c>
      <c r="E181" s="2">
        <v>161000001430511</v>
      </c>
      <c r="F181" t="s">
        <v>111</v>
      </c>
      <c r="G181" s="2">
        <v>301999998092651</v>
      </c>
      <c r="H181">
        <v>0</v>
      </c>
      <c r="I181">
        <v>20</v>
      </c>
      <c r="J181">
        <v>2</v>
      </c>
      <c r="K181">
        <v>149</v>
      </c>
      <c r="L181">
        <v>1269</v>
      </c>
      <c r="M181">
        <v>1995</v>
      </c>
      <c r="N181" t="str">
        <f t="shared" si="4"/>
        <v>Baja Actividad</v>
      </c>
      <c r="O181" t="str">
        <f t="shared" si="5"/>
        <v>Alto Sedentarismo</v>
      </c>
    </row>
    <row r="182" spans="1:15" x14ac:dyDescent="0.3">
      <c r="A182">
        <v>2022484408</v>
      </c>
      <c r="B182" s="1">
        <v>42587</v>
      </c>
      <c r="C182">
        <v>3292</v>
      </c>
      <c r="D182" s="2">
        <v>230999994277954</v>
      </c>
      <c r="E182">
        <v>0</v>
      </c>
      <c r="F182">
        <v>0</v>
      </c>
      <c r="G182" s="2">
        <v>230999994277954</v>
      </c>
      <c r="H182">
        <v>0</v>
      </c>
      <c r="I182">
        <v>0</v>
      </c>
      <c r="J182">
        <v>0</v>
      </c>
      <c r="K182">
        <v>135</v>
      </c>
      <c r="L182">
        <v>1305</v>
      </c>
      <c r="M182">
        <v>1848</v>
      </c>
      <c r="N182" t="str">
        <f t="shared" si="4"/>
        <v>Baja Actividad</v>
      </c>
      <c r="O182" t="str">
        <f t="shared" si="5"/>
        <v>Alto Sedentarismo</v>
      </c>
    </row>
    <row r="183" spans="1:15" x14ac:dyDescent="0.3">
      <c r="A183">
        <v>2022484408</v>
      </c>
      <c r="B183" s="1">
        <v>42618</v>
      </c>
      <c r="C183">
        <v>13379</v>
      </c>
      <c r="D183" s="2">
        <v>939000034332275</v>
      </c>
      <c r="E183" s="2">
        <v>211999988555908</v>
      </c>
      <c r="F183" s="2">
        <v>162999999523163</v>
      </c>
      <c r="G183" s="2">
        <v>56399998664856</v>
      </c>
      <c r="H183">
        <v>0</v>
      </c>
      <c r="I183">
        <v>35</v>
      </c>
      <c r="J183">
        <v>47</v>
      </c>
      <c r="K183">
        <v>297</v>
      </c>
      <c r="L183">
        <v>1061</v>
      </c>
      <c r="M183">
        <v>2709</v>
      </c>
      <c r="N183" t="str">
        <f t="shared" si="4"/>
        <v>Alta Actividad</v>
      </c>
      <c r="O183" t="str">
        <f t="shared" si="5"/>
        <v>Alto Sedentarismo</v>
      </c>
    </row>
    <row r="184" spans="1:15" x14ac:dyDescent="0.3">
      <c r="A184">
        <v>2022484408</v>
      </c>
      <c r="B184" s="1">
        <v>42648</v>
      </c>
      <c r="C184">
        <v>12798</v>
      </c>
      <c r="D184" s="2">
        <v>897999954223633</v>
      </c>
      <c r="E184" s="2">
        <v>222000002861023</v>
      </c>
      <c r="F184" s="2">
        <v>121000003814697</v>
      </c>
      <c r="G184" s="2">
        <v>555999994277954</v>
      </c>
      <c r="H184">
        <v>0</v>
      </c>
      <c r="I184">
        <v>57</v>
      </c>
      <c r="J184">
        <v>28</v>
      </c>
      <c r="K184">
        <v>271</v>
      </c>
      <c r="L184">
        <v>1084</v>
      </c>
      <c r="M184">
        <v>2797</v>
      </c>
      <c r="N184" t="str">
        <f t="shared" si="4"/>
        <v>Alta Actividad</v>
      </c>
      <c r="O184" t="str">
        <f t="shared" si="5"/>
        <v>Alto Sedentarismo</v>
      </c>
    </row>
    <row r="185" spans="1:15" x14ac:dyDescent="0.3">
      <c r="A185">
        <v>2022484408</v>
      </c>
      <c r="B185" s="1">
        <v>42679</v>
      </c>
      <c r="C185">
        <v>13272</v>
      </c>
      <c r="D185" s="2">
        <v>931999969482422</v>
      </c>
      <c r="E185" s="2">
        <v>417999982833862</v>
      </c>
      <c r="F185" s="2">
        <v>114999997615814</v>
      </c>
      <c r="G185" s="2">
        <v>399000000953674</v>
      </c>
      <c r="H185">
        <v>0</v>
      </c>
      <c r="I185">
        <v>58</v>
      </c>
      <c r="J185">
        <v>25</v>
      </c>
      <c r="K185">
        <v>224</v>
      </c>
      <c r="L185">
        <v>1133</v>
      </c>
      <c r="M185">
        <v>2544</v>
      </c>
      <c r="N185" t="str">
        <f t="shared" si="4"/>
        <v>Alta Actividad</v>
      </c>
      <c r="O185" t="str">
        <f t="shared" si="5"/>
        <v>Alto Sedentarismo</v>
      </c>
    </row>
    <row r="186" spans="1:15" x14ac:dyDescent="0.3">
      <c r="A186">
        <v>2022484408</v>
      </c>
      <c r="B186" s="1">
        <v>42709</v>
      </c>
      <c r="C186">
        <v>9117</v>
      </c>
      <c r="D186" s="2">
        <v>640999984741211</v>
      </c>
      <c r="E186" s="2">
        <v>127999997138977</v>
      </c>
      <c r="F186" t="s">
        <v>110</v>
      </c>
      <c r="G186" s="2">
        <v>444000005722046</v>
      </c>
      <c r="H186">
        <v>0</v>
      </c>
      <c r="I186">
        <v>16</v>
      </c>
      <c r="J186">
        <v>16</v>
      </c>
      <c r="K186">
        <v>236</v>
      </c>
      <c r="L186">
        <v>728</v>
      </c>
      <c r="M186">
        <v>1853</v>
      </c>
      <c r="N186" t="str">
        <f t="shared" si="4"/>
        <v>Baja Actividad</v>
      </c>
      <c r="O186" t="str">
        <f t="shared" si="5"/>
        <v>Alto Sedentarismo</v>
      </c>
    </row>
    <row r="187" spans="1:15" x14ac:dyDescent="0.3">
      <c r="A187">
        <v>2026352035</v>
      </c>
      <c r="B187" s="1">
        <v>42708</v>
      </c>
      <c r="C187">
        <v>4414</v>
      </c>
      <c r="D187" s="2">
        <v>274000000953674</v>
      </c>
      <c r="E187" t="s">
        <v>112</v>
      </c>
      <c r="F187" t="s">
        <v>31</v>
      </c>
      <c r="G187" s="2">
        <v>220000004768372</v>
      </c>
      <c r="H187">
        <v>0</v>
      </c>
      <c r="I187">
        <v>3</v>
      </c>
      <c r="J187">
        <v>8</v>
      </c>
      <c r="K187">
        <v>181</v>
      </c>
      <c r="L187">
        <v>706</v>
      </c>
      <c r="M187">
        <v>1459</v>
      </c>
      <c r="N187" t="str">
        <f t="shared" si="4"/>
        <v>Baja Actividad</v>
      </c>
      <c r="O187" t="str">
        <f t="shared" si="5"/>
        <v>Alto Sedentarismo</v>
      </c>
    </row>
    <row r="188" spans="1:15" x14ac:dyDescent="0.3">
      <c r="A188">
        <v>2026352035</v>
      </c>
      <c r="B188" t="s">
        <v>15</v>
      </c>
      <c r="C188">
        <v>4993</v>
      </c>
      <c r="D188" s="2">
        <v>309999990463257</v>
      </c>
      <c r="E188">
        <v>0</v>
      </c>
      <c r="F188">
        <v>0</v>
      </c>
      <c r="G188" s="2">
        <v>309999990463257</v>
      </c>
      <c r="H188">
        <v>0</v>
      </c>
      <c r="I188">
        <v>0</v>
      </c>
      <c r="J188">
        <v>0</v>
      </c>
      <c r="K188">
        <v>238</v>
      </c>
      <c r="L188">
        <v>663</v>
      </c>
      <c r="M188">
        <v>1521</v>
      </c>
      <c r="N188" t="str">
        <f t="shared" si="4"/>
        <v>Baja Actividad</v>
      </c>
      <c r="O188" t="str">
        <f t="shared" si="5"/>
        <v>Bajo Sedentarismo</v>
      </c>
    </row>
    <row r="189" spans="1:15" x14ac:dyDescent="0.3">
      <c r="A189">
        <v>2026352035</v>
      </c>
      <c r="B189" t="s">
        <v>17</v>
      </c>
      <c r="C189">
        <v>3335</v>
      </c>
      <c r="D189" s="2">
        <v>20699999332428</v>
      </c>
      <c r="E189">
        <v>0</v>
      </c>
      <c r="F189">
        <v>0</v>
      </c>
      <c r="G189" s="2">
        <v>204999995231628</v>
      </c>
      <c r="H189">
        <v>0</v>
      </c>
      <c r="I189">
        <v>0</v>
      </c>
      <c r="J189">
        <v>0</v>
      </c>
      <c r="K189">
        <v>197</v>
      </c>
      <c r="L189">
        <v>653</v>
      </c>
      <c r="M189">
        <v>1431</v>
      </c>
      <c r="N189" t="str">
        <f t="shared" si="4"/>
        <v>Baja Actividad</v>
      </c>
      <c r="O189" t="str">
        <f t="shared" si="5"/>
        <v>Bajo Sedentarismo</v>
      </c>
    </row>
    <row r="190" spans="1:15" x14ac:dyDescent="0.3">
      <c r="A190">
        <v>2026352035</v>
      </c>
      <c r="B190" t="s">
        <v>19</v>
      </c>
      <c r="C190">
        <v>3821</v>
      </c>
      <c r="D190" s="2">
        <v>236999988555908</v>
      </c>
      <c r="E190">
        <v>0</v>
      </c>
      <c r="F190">
        <v>0</v>
      </c>
      <c r="G190" s="2">
        <v>236999988555908</v>
      </c>
      <c r="H190">
        <v>0</v>
      </c>
      <c r="I190">
        <v>0</v>
      </c>
      <c r="J190">
        <v>0</v>
      </c>
      <c r="K190">
        <v>188</v>
      </c>
      <c r="L190">
        <v>687</v>
      </c>
      <c r="M190">
        <v>1444</v>
      </c>
      <c r="N190" t="str">
        <f t="shared" si="4"/>
        <v>Baja Actividad</v>
      </c>
      <c r="O190" t="str">
        <f t="shared" si="5"/>
        <v>Bajo Sedentarismo</v>
      </c>
    </row>
    <row r="191" spans="1:15" x14ac:dyDescent="0.3">
      <c r="A191">
        <v>2026352035</v>
      </c>
      <c r="B191" t="s">
        <v>20</v>
      </c>
      <c r="C191">
        <v>2547</v>
      </c>
      <c r="D191" s="2">
        <v>158000004291534</v>
      </c>
      <c r="E191">
        <v>0</v>
      </c>
      <c r="F191">
        <v>0</v>
      </c>
      <c r="G191" s="2">
        <v>158000004291534</v>
      </c>
      <c r="H191">
        <v>0</v>
      </c>
      <c r="I191">
        <v>0</v>
      </c>
      <c r="J191">
        <v>0</v>
      </c>
      <c r="K191">
        <v>150</v>
      </c>
      <c r="L191">
        <v>728</v>
      </c>
      <c r="M191">
        <v>1373</v>
      </c>
      <c r="N191" t="str">
        <f t="shared" si="4"/>
        <v>Baja Actividad</v>
      </c>
      <c r="O191" t="str">
        <f t="shared" si="5"/>
        <v>Alto Sedentarismo</v>
      </c>
    </row>
    <row r="192" spans="1:15" x14ac:dyDescent="0.3">
      <c r="A192">
        <v>2026352035</v>
      </c>
      <c r="B192" t="s">
        <v>22</v>
      </c>
      <c r="C192">
        <v>838</v>
      </c>
      <c r="D192" t="s">
        <v>77</v>
      </c>
      <c r="E192">
        <v>0</v>
      </c>
      <c r="F192">
        <v>0</v>
      </c>
      <c r="G192" t="s">
        <v>77</v>
      </c>
      <c r="H192">
        <v>0</v>
      </c>
      <c r="I192">
        <v>0</v>
      </c>
      <c r="J192">
        <v>0</v>
      </c>
      <c r="K192">
        <v>60</v>
      </c>
      <c r="L192">
        <v>1053</v>
      </c>
      <c r="M192">
        <v>1214</v>
      </c>
      <c r="N192" t="str">
        <f t="shared" si="4"/>
        <v>Baja Actividad</v>
      </c>
      <c r="O192" t="str">
        <f t="shared" si="5"/>
        <v>Alto Sedentarismo</v>
      </c>
    </row>
    <row r="193" spans="1:15" x14ac:dyDescent="0.3">
      <c r="A193">
        <v>2026352035</v>
      </c>
      <c r="B193" t="s">
        <v>24</v>
      </c>
      <c r="C193">
        <v>3325</v>
      </c>
      <c r="D193" s="2">
        <v>205999994277954</v>
      </c>
      <c r="E193">
        <v>0</v>
      </c>
      <c r="F193">
        <v>0</v>
      </c>
      <c r="G193" s="2">
        <v>205999994277954</v>
      </c>
      <c r="H193">
        <v>0</v>
      </c>
      <c r="I193">
        <v>0</v>
      </c>
      <c r="J193">
        <v>0</v>
      </c>
      <c r="K193">
        <v>182</v>
      </c>
      <c r="L193">
        <v>1062</v>
      </c>
      <c r="M193">
        <v>1419</v>
      </c>
      <c r="N193" t="str">
        <f t="shared" si="4"/>
        <v>Baja Actividad</v>
      </c>
      <c r="O193" t="str">
        <f t="shared" si="5"/>
        <v>Alto Sedentarismo</v>
      </c>
    </row>
    <row r="194" spans="1:15" x14ac:dyDescent="0.3">
      <c r="A194">
        <v>2026352035</v>
      </c>
      <c r="B194" t="s">
        <v>27</v>
      </c>
      <c r="C194">
        <v>2424</v>
      </c>
      <c r="D194" t="s">
        <v>90</v>
      </c>
      <c r="E194">
        <v>0</v>
      </c>
      <c r="F194">
        <v>0</v>
      </c>
      <c r="G194" t="s">
        <v>90</v>
      </c>
      <c r="H194">
        <v>0</v>
      </c>
      <c r="I194">
        <v>0</v>
      </c>
      <c r="J194">
        <v>0</v>
      </c>
      <c r="K194">
        <v>141</v>
      </c>
      <c r="L194">
        <v>785</v>
      </c>
      <c r="M194">
        <v>1356</v>
      </c>
      <c r="N194" t="str">
        <f t="shared" si="4"/>
        <v>Baja Actividad</v>
      </c>
      <c r="O194" t="str">
        <f t="shared" si="5"/>
        <v>Alto Sedentarismo</v>
      </c>
    </row>
    <row r="195" spans="1:15" x14ac:dyDescent="0.3">
      <c r="A195">
        <v>2026352035</v>
      </c>
      <c r="B195" t="s">
        <v>28</v>
      </c>
      <c r="C195">
        <v>7222</v>
      </c>
      <c r="D195" s="2">
        <v>448000001907349</v>
      </c>
      <c r="E195">
        <v>0</v>
      </c>
      <c r="F195">
        <v>0</v>
      </c>
      <c r="G195" s="2">
        <v>448000001907349</v>
      </c>
      <c r="H195">
        <v>0</v>
      </c>
      <c r="I195">
        <v>0</v>
      </c>
      <c r="J195">
        <v>0</v>
      </c>
      <c r="K195">
        <v>327</v>
      </c>
      <c r="L195">
        <v>623</v>
      </c>
      <c r="M195">
        <v>1667</v>
      </c>
      <c r="N195" t="str">
        <f t="shared" ref="N195:N258" si="6">IF(C195&gt;=10000, "Alta Actividad", "Baja Actividad")</f>
        <v>Baja Actividad</v>
      </c>
      <c r="O195" t="str">
        <f t="shared" ref="O195:O258" si="7">IF(L195&gt;=700, "Alto Sedentarismo",  "Bajo Sedentarismo")</f>
        <v>Bajo Sedentarismo</v>
      </c>
    </row>
    <row r="196" spans="1:15" x14ac:dyDescent="0.3">
      <c r="A196">
        <v>2026352035</v>
      </c>
      <c r="B196" t="s">
        <v>30</v>
      </c>
      <c r="C196">
        <v>2467</v>
      </c>
      <c r="D196" s="2">
        <v>152999997138977</v>
      </c>
      <c r="E196">
        <v>0</v>
      </c>
      <c r="F196">
        <v>0</v>
      </c>
      <c r="G196" s="2">
        <v>152999997138977</v>
      </c>
      <c r="H196">
        <v>0</v>
      </c>
      <c r="I196">
        <v>0</v>
      </c>
      <c r="J196">
        <v>0</v>
      </c>
      <c r="K196">
        <v>153</v>
      </c>
      <c r="L196">
        <v>749</v>
      </c>
      <c r="M196">
        <v>1370</v>
      </c>
      <c r="N196" t="str">
        <f t="shared" si="6"/>
        <v>Baja Actividad</v>
      </c>
      <c r="O196" t="str">
        <f t="shared" si="7"/>
        <v>Alto Sedentarismo</v>
      </c>
    </row>
    <row r="197" spans="1:15" x14ac:dyDescent="0.3">
      <c r="A197">
        <v>2026352035</v>
      </c>
      <c r="B197" t="s">
        <v>32</v>
      </c>
      <c r="C197">
        <v>2915</v>
      </c>
      <c r="D197" s="2">
        <v>180999994277954</v>
      </c>
      <c r="E197">
        <v>0</v>
      </c>
      <c r="F197">
        <v>0</v>
      </c>
      <c r="G197" s="2">
        <v>180999994277954</v>
      </c>
      <c r="H197">
        <v>0</v>
      </c>
      <c r="I197">
        <v>0</v>
      </c>
      <c r="J197">
        <v>0</v>
      </c>
      <c r="K197">
        <v>162</v>
      </c>
      <c r="L197">
        <v>712</v>
      </c>
      <c r="M197">
        <v>1399</v>
      </c>
      <c r="N197" t="str">
        <f t="shared" si="6"/>
        <v>Baja Actividad</v>
      </c>
      <c r="O197" t="str">
        <f t="shared" si="7"/>
        <v>Alto Sedentarismo</v>
      </c>
    </row>
    <row r="198" spans="1:15" x14ac:dyDescent="0.3">
      <c r="A198">
        <v>2026352035</v>
      </c>
      <c r="B198" t="s">
        <v>33</v>
      </c>
      <c r="C198">
        <v>12357</v>
      </c>
      <c r="D198" s="2">
        <v>771000003814697</v>
      </c>
      <c r="E198">
        <v>0</v>
      </c>
      <c r="F198">
        <v>0</v>
      </c>
      <c r="G198" s="2">
        <v>771000003814697</v>
      </c>
      <c r="H198">
        <v>0</v>
      </c>
      <c r="I198">
        <v>0</v>
      </c>
      <c r="J198">
        <v>0</v>
      </c>
      <c r="K198">
        <v>432</v>
      </c>
      <c r="L198">
        <v>458</v>
      </c>
      <c r="M198">
        <v>1916</v>
      </c>
      <c r="N198" t="str">
        <f t="shared" si="6"/>
        <v>Alta Actividad</v>
      </c>
      <c r="O198" t="str">
        <f t="shared" si="7"/>
        <v>Bajo Sedentarismo</v>
      </c>
    </row>
    <row r="199" spans="1:15" x14ac:dyDescent="0.3">
      <c r="A199">
        <v>2026352035</v>
      </c>
      <c r="B199" t="s">
        <v>35</v>
      </c>
      <c r="C199">
        <v>3490</v>
      </c>
      <c r="D199" s="2">
        <v>216000008583069</v>
      </c>
      <c r="E199">
        <v>0</v>
      </c>
      <c r="F199">
        <v>0</v>
      </c>
      <c r="G199" s="2">
        <v>216000008583069</v>
      </c>
      <c r="H199">
        <v>0</v>
      </c>
      <c r="I199">
        <v>0</v>
      </c>
      <c r="J199">
        <v>0</v>
      </c>
      <c r="K199">
        <v>164</v>
      </c>
      <c r="L199">
        <v>704</v>
      </c>
      <c r="M199">
        <v>1401</v>
      </c>
      <c r="N199" t="str">
        <f t="shared" si="6"/>
        <v>Baja Actividad</v>
      </c>
      <c r="O199" t="str">
        <f t="shared" si="7"/>
        <v>Alto Sedentarismo</v>
      </c>
    </row>
    <row r="200" spans="1:15" x14ac:dyDescent="0.3">
      <c r="A200">
        <v>2026352035</v>
      </c>
      <c r="B200" t="s">
        <v>37</v>
      </c>
      <c r="C200">
        <v>6017</v>
      </c>
      <c r="D200" s="2">
        <v>373000001907349</v>
      </c>
      <c r="E200">
        <v>0</v>
      </c>
      <c r="F200">
        <v>0</v>
      </c>
      <c r="G200" s="2">
        <v>373000001907349</v>
      </c>
      <c r="H200">
        <v>0</v>
      </c>
      <c r="I200">
        <v>0</v>
      </c>
      <c r="J200">
        <v>0</v>
      </c>
      <c r="K200">
        <v>260</v>
      </c>
      <c r="L200">
        <v>821</v>
      </c>
      <c r="M200">
        <v>1576</v>
      </c>
      <c r="N200" t="str">
        <f t="shared" si="6"/>
        <v>Baja Actividad</v>
      </c>
      <c r="O200" t="str">
        <f t="shared" si="7"/>
        <v>Alto Sedentarismo</v>
      </c>
    </row>
    <row r="201" spans="1:15" x14ac:dyDescent="0.3">
      <c r="A201">
        <v>2026352035</v>
      </c>
      <c r="B201" t="s">
        <v>39</v>
      </c>
      <c r="C201">
        <v>5933</v>
      </c>
      <c r="D201" s="2">
        <v>36800000667572</v>
      </c>
      <c r="E201">
        <v>0</v>
      </c>
      <c r="F201">
        <v>0</v>
      </c>
      <c r="G201" s="2">
        <v>36800000667572</v>
      </c>
      <c r="H201">
        <v>0</v>
      </c>
      <c r="I201">
        <v>0</v>
      </c>
      <c r="J201">
        <v>0</v>
      </c>
      <c r="K201">
        <v>288</v>
      </c>
      <c r="L201">
        <v>1018</v>
      </c>
      <c r="M201">
        <v>1595</v>
      </c>
      <c r="N201" t="str">
        <f t="shared" si="6"/>
        <v>Baja Actividad</v>
      </c>
      <c r="O201" t="str">
        <f t="shared" si="7"/>
        <v>Alto Sedentarismo</v>
      </c>
    </row>
    <row r="202" spans="1:15" x14ac:dyDescent="0.3">
      <c r="A202">
        <v>2026352035</v>
      </c>
      <c r="B202" t="s">
        <v>41</v>
      </c>
      <c r="C202">
        <v>6088</v>
      </c>
      <c r="D202" s="2">
        <v>376999998092651</v>
      </c>
      <c r="E202">
        <v>0</v>
      </c>
      <c r="F202">
        <v>0</v>
      </c>
      <c r="G202" s="2">
        <v>376999998092651</v>
      </c>
      <c r="H202">
        <v>0</v>
      </c>
      <c r="I202">
        <v>0</v>
      </c>
      <c r="J202">
        <v>0</v>
      </c>
      <c r="K202">
        <v>286</v>
      </c>
      <c r="L202">
        <v>586</v>
      </c>
      <c r="M202">
        <v>1593</v>
      </c>
      <c r="N202" t="str">
        <f t="shared" si="6"/>
        <v>Baja Actividad</v>
      </c>
      <c r="O202" t="str">
        <f t="shared" si="7"/>
        <v>Bajo Sedentarismo</v>
      </c>
    </row>
    <row r="203" spans="1:15" x14ac:dyDescent="0.3">
      <c r="A203">
        <v>2026352035</v>
      </c>
      <c r="B203" t="s">
        <v>42</v>
      </c>
      <c r="C203">
        <v>6375</v>
      </c>
      <c r="D203" s="2">
        <v>395000004768372</v>
      </c>
      <c r="E203">
        <v>0</v>
      </c>
      <c r="F203">
        <v>0</v>
      </c>
      <c r="G203" s="2">
        <v>395000004768372</v>
      </c>
      <c r="H203">
        <v>0</v>
      </c>
      <c r="I203">
        <v>0</v>
      </c>
      <c r="J203">
        <v>0</v>
      </c>
      <c r="K203">
        <v>331</v>
      </c>
      <c r="L203">
        <v>626</v>
      </c>
      <c r="M203">
        <v>1649</v>
      </c>
      <c r="N203" t="str">
        <f t="shared" si="6"/>
        <v>Baja Actividad</v>
      </c>
      <c r="O203" t="str">
        <f t="shared" si="7"/>
        <v>Bajo Sedentarismo</v>
      </c>
    </row>
    <row r="204" spans="1:15" x14ac:dyDescent="0.3">
      <c r="A204">
        <v>2026352035</v>
      </c>
      <c r="B204" t="s">
        <v>43</v>
      </c>
      <c r="C204">
        <v>7604</v>
      </c>
      <c r="D204" s="2">
        <v>471000003814697</v>
      </c>
      <c r="E204">
        <v>0</v>
      </c>
      <c r="F204">
        <v>0</v>
      </c>
      <c r="G204" s="2">
        <v>471000003814697</v>
      </c>
      <c r="H204">
        <v>0</v>
      </c>
      <c r="I204">
        <v>0</v>
      </c>
      <c r="J204">
        <v>0</v>
      </c>
      <c r="K204">
        <v>352</v>
      </c>
      <c r="L204">
        <v>492</v>
      </c>
      <c r="M204">
        <v>1692</v>
      </c>
      <c r="N204" t="str">
        <f t="shared" si="6"/>
        <v>Baja Actividad</v>
      </c>
      <c r="O204" t="str">
        <f t="shared" si="7"/>
        <v>Bajo Sedentarismo</v>
      </c>
    </row>
    <row r="205" spans="1:15" x14ac:dyDescent="0.3">
      <c r="A205">
        <v>2026352035</v>
      </c>
      <c r="B205" t="s">
        <v>45</v>
      </c>
      <c r="C205">
        <v>4729</v>
      </c>
      <c r="D205" s="2">
        <v>29300000667572</v>
      </c>
      <c r="E205">
        <v>0</v>
      </c>
      <c r="F205">
        <v>0</v>
      </c>
      <c r="G205" s="2">
        <v>29300000667572</v>
      </c>
      <c r="H205">
        <v>0</v>
      </c>
      <c r="I205">
        <v>0</v>
      </c>
      <c r="J205">
        <v>0</v>
      </c>
      <c r="K205">
        <v>233</v>
      </c>
      <c r="L205">
        <v>594</v>
      </c>
      <c r="M205">
        <v>1506</v>
      </c>
      <c r="N205" t="str">
        <f t="shared" si="6"/>
        <v>Baja Actividad</v>
      </c>
      <c r="O205" t="str">
        <f t="shared" si="7"/>
        <v>Bajo Sedentarismo</v>
      </c>
    </row>
    <row r="206" spans="1:15" x14ac:dyDescent="0.3">
      <c r="A206">
        <v>2026352035</v>
      </c>
      <c r="B206" s="1">
        <v>42374</v>
      </c>
      <c r="C206">
        <v>3609</v>
      </c>
      <c r="D206" s="2">
        <v>227999997138977</v>
      </c>
      <c r="E206">
        <v>0</v>
      </c>
      <c r="F206">
        <v>0</v>
      </c>
      <c r="G206" s="2">
        <v>227999997138977</v>
      </c>
      <c r="H206">
        <v>0</v>
      </c>
      <c r="I206">
        <v>0</v>
      </c>
      <c r="J206">
        <v>0</v>
      </c>
      <c r="K206">
        <v>191</v>
      </c>
      <c r="L206">
        <v>716</v>
      </c>
      <c r="M206">
        <v>1447</v>
      </c>
      <c r="N206" t="str">
        <f t="shared" si="6"/>
        <v>Baja Actividad</v>
      </c>
      <c r="O206" t="str">
        <f t="shared" si="7"/>
        <v>Alto Sedentarismo</v>
      </c>
    </row>
    <row r="207" spans="1:15" x14ac:dyDescent="0.3">
      <c r="A207">
        <v>2026352035</v>
      </c>
      <c r="B207" s="1">
        <v>42405</v>
      </c>
      <c r="C207">
        <v>7018</v>
      </c>
      <c r="D207" s="2">
        <v>434999990463257</v>
      </c>
      <c r="E207">
        <v>0</v>
      </c>
      <c r="F207">
        <v>0</v>
      </c>
      <c r="G207" s="2">
        <v>434999990463257</v>
      </c>
      <c r="H207">
        <v>0</v>
      </c>
      <c r="I207">
        <v>0</v>
      </c>
      <c r="J207">
        <v>0</v>
      </c>
      <c r="K207">
        <v>355</v>
      </c>
      <c r="L207">
        <v>716</v>
      </c>
      <c r="M207">
        <v>1690</v>
      </c>
      <c r="N207" t="str">
        <f t="shared" si="6"/>
        <v>Baja Actividad</v>
      </c>
      <c r="O207" t="str">
        <f t="shared" si="7"/>
        <v>Alto Sedentarismo</v>
      </c>
    </row>
    <row r="208" spans="1:15" x14ac:dyDescent="0.3">
      <c r="A208">
        <v>2026352035</v>
      </c>
      <c r="B208" s="1">
        <v>42434</v>
      </c>
      <c r="C208">
        <v>5992</v>
      </c>
      <c r="D208" s="2">
        <v>372000002861023</v>
      </c>
      <c r="E208">
        <v>0</v>
      </c>
      <c r="F208">
        <v>0</v>
      </c>
      <c r="G208" s="2">
        <v>372000002861023</v>
      </c>
      <c r="H208">
        <v>0</v>
      </c>
      <c r="I208">
        <v>0</v>
      </c>
      <c r="J208">
        <v>0</v>
      </c>
      <c r="K208">
        <v>304</v>
      </c>
      <c r="L208">
        <v>981</v>
      </c>
      <c r="M208">
        <v>1604</v>
      </c>
      <c r="N208" t="str">
        <f t="shared" si="6"/>
        <v>Baja Actividad</v>
      </c>
      <c r="O208" t="str">
        <f t="shared" si="7"/>
        <v>Alto Sedentarismo</v>
      </c>
    </row>
    <row r="209" spans="1:15" x14ac:dyDescent="0.3">
      <c r="A209">
        <v>2026352035</v>
      </c>
      <c r="B209" s="1">
        <v>42465</v>
      </c>
      <c r="C209">
        <v>6564</v>
      </c>
      <c r="D209" s="2">
        <v>407000017166138</v>
      </c>
      <c r="E209">
        <v>0</v>
      </c>
      <c r="F209">
        <v>0</v>
      </c>
      <c r="G209" s="2">
        <v>407000017166138</v>
      </c>
      <c r="H209">
        <v>0</v>
      </c>
      <c r="I209">
        <v>0</v>
      </c>
      <c r="J209">
        <v>0</v>
      </c>
      <c r="K209">
        <v>345</v>
      </c>
      <c r="L209">
        <v>530</v>
      </c>
      <c r="M209">
        <v>1658</v>
      </c>
      <c r="N209" t="str">
        <f t="shared" si="6"/>
        <v>Baja Actividad</v>
      </c>
      <c r="O209" t="str">
        <f t="shared" si="7"/>
        <v>Bajo Sedentarismo</v>
      </c>
    </row>
    <row r="210" spans="1:15" x14ac:dyDescent="0.3">
      <c r="A210">
        <v>2026352035</v>
      </c>
      <c r="B210" s="1">
        <v>42495</v>
      </c>
      <c r="C210">
        <v>12167</v>
      </c>
      <c r="D210" s="2">
        <v>753999996185303</v>
      </c>
      <c r="E210">
        <v>0</v>
      </c>
      <c r="F210">
        <v>0</v>
      </c>
      <c r="G210" s="2">
        <v>753999996185303</v>
      </c>
      <c r="H210">
        <v>0</v>
      </c>
      <c r="I210">
        <v>0</v>
      </c>
      <c r="J210">
        <v>0</v>
      </c>
      <c r="K210">
        <v>475</v>
      </c>
      <c r="L210">
        <v>479</v>
      </c>
      <c r="M210">
        <v>1926</v>
      </c>
      <c r="N210" t="str">
        <f t="shared" si="6"/>
        <v>Alta Actividad</v>
      </c>
      <c r="O210" t="str">
        <f t="shared" si="7"/>
        <v>Bajo Sedentarismo</v>
      </c>
    </row>
    <row r="211" spans="1:15" x14ac:dyDescent="0.3">
      <c r="A211">
        <v>2026352035</v>
      </c>
      <c r="B211" s="1">
        <v>42526</v>
      </c>
      <c r="C211">
        <v>8198</v>
      </c>
      <c r="D211" s="2">
        <v>507999992370605</v>
      </c>
      <c r="E211">
        <v>0</v>
      </c>
      <c r="F211">
        <v>0</v>
      </c>
      <c r="G211" s="2">
        <v>507999992370605</v>
      </c>
      <c r="H211">
        <v>0</v>
      </c>
      <c r="I211">
        <v>0</v>
      </c>
      <c r="J211">
        <v>0</v>
      </c>
      <c r="K211">
        <v>383</v>
      </c>
      <c r="L211">
        <v>511</v>
      </c>
      <c r="M211">
        <v>1736</v>
      </c>
      <c r="N211" t="str">
        <f t="shared" si="6"/>
        <v>Baja Actividad</v>
      </c>
      <c r="O211" t="str">
        <f t="shared" si="7"/>
        <v>Bajo Sedentarismo</v>
      </c>
    </row>
    <row r="212" spans="1:15" x14ac:dyDescent="0.3">
      <c r="A212">
        <v>2026352035</v>
      </c>
      <c r="B212" s="1">
        <v>42556</v>
      </c>
      <c r="C212">
        <v>4193</v>
      </c>
      <c r="D212" s="2">
        <v>259999990463257</v>
      </c>
      <c r="E212">
        <v>0</v>
      </c>
      <c r="F212">
        <v>0</v>
      </c>
      <c r="G212" s="2">
        <v>259999990463257</v>
      </c>
      <c r="H212">
        <v>0</v>
      </c>
      <c r="I212">
        <v>0</v>
      </c>
      <c r="J212">
        <v>0</v>
      </c>
      <c r="K212">
        <v>229</v>
      </c>
      <c r="L212">
        <v>665</v>
      </c>
      <c r="M212">
        <v>1491</v>
      </c>
      <c r="N212" t="str">
        <f t="shared" si="6"/>
        <v>Baja Actividad</v>
      </c>
      <c r="O212" t="str">
        <f t="shared" si="7"/>
        <v>Bajo Sedentarismo</v>
      </c>
    </row>
    <row r="213" spans="1:15" x14ac:dyDescent="0.3">
      <c r="A213">
        <v>2026352035</v>
      </c>
      <c r="B213" s="1">
        <v>42587</v>
      </c>
      <c r="C213">
        <v>5528</v>
      </c>
      <c r="D213" s="2">
        <v>345000004768372</v>
      </c>
      <c r="E213">
        <v>0</v>
      </c>
      <c r="F213">
        <v>0</v>
      </c>
      <c r="G213" s="2">
        <v>345000004768372</v>
      </c>
      <c r="H213">
        <v>0</v>
      </c>
      <c r="I213">
        <v>0</v>
      </c>
      <c r="J213">
        <v>0</v>
      </c>
      <c r="K213">
        <v>258</v>
      </c>
      <c r="L213">
        <v>610</v>
      </c>
      <c r="M213">
        <v>1555</v>
      </c>
      <c r="N213" t="str">
        <f t="shared" si="6"/>
        <v>Baja Actividad</v>
      </c>
      <c r="O213" t="str">
        <f t="shared" si="7"/>
        <v>Bajo Sedentarismo</v>
      </c>
    </row>
    <row r="214" spans="1:15" x14ac:dyDescent="0.3">
      <c r="A214">
        <v>2026352035</v>
      </c>
      <c r="B214" s="1">
        <v>42618</v>
      </c>
      <c r="C214">
        <v>10685</v>
      </c>
      <c r="D214" s="2">
        <v>661999988555908</v>
      </c>
      <c r="E214">
        <v>0</v>
      </c>
      <c r="F214">
        <v>0</v>
      </c>
      <c r="G214" s="2">
        <v>659999990463257</v>
      </c>
      <c r="H214">
        <v>0</v>
      </c>
      <c r="I214">
        <v>0</v>
      </c>
      <c r="J214">
        <v>0</v>
      </c>
      <c r="K214">
        <v>401</v>
      </c>
      <c r="L214">
        <v>543</v>
      </c>
      <c r="M214">
        <v>1869</v>
      </c>
      <c r="N214" t="str">
        <f t="shared" si="6"/>
        <v>Alta Actividad</v>
      </c>
      <c r="O214" t="str">
        <f t="shared" si="7"/>
        <v>Bajo Sedentarismo</v>
      </c>
    </row>
    <row r="215" spans="1:15" x14ac:dyDescent="0.3">
      <c r="A215">
        <v>2026352035</v>
      </c>
      <c r="B215" s="1">
        <v>42648</v>
      </c>
      <c r="C215">
        <v>254</v>
      </c>
      <c r="D215" t="s">
        <v>113</v>
      </c>
      <c r="E215">
        <v>0</v>
      </c>
      <c r="F215">
        <v>0</v>
      </c>
      <c r="G215" t="s">
        <v>113</v>
      </c>
      <c r="H215">
        <v>0</v>
      </c>
      <c r="I215">
        <v>0</v>
      </c>
      <c r="J215">
        <v>0</v>
      </c>
      <c r="K215">
        <v>17</v>
      </c>
      <c r="L215">
        <v>1002</v>
      </c>
      <c r="M215">
        <v>1141</v>
      </c>
      <c r="N215" t="str">
        <f t="shared" si="6"/>
        <v>Baja Actividad</v>
      </c>
      <c r="O215" t="str">
        <f t="shared" si="7"/>
        <v>Alto Sedentarismo</v>
      </c>
    </row>
    <row r="216" spans="1:15" x14ac:dyDescent="0.3">
      <c r="A216">
        <v>2026352035</v>
      </c>
      <c r="B216" s="1">
        <v>42679</v>
      </c>
      <c r="C216">
        <v>8580</v>
      </c>
      <c r="D216" s="2">
        <v>532000017166138</v>
      </c>
      <c r="E216">
        <v>0</v>
      </c>
      <c r="F216">
        <v>0</v>
      </c>
      <c r="G216" s="2">
        <v>532000017166138</v>
      </c>
      <c r="H216">
        <v>0</v>
      </c>
      <c r="I216">
        <v>0</v>
      </c>
      <c r="J216">
        <v>0</v>
      </c>
      <c r="K216">
        <v>330</v>
      </c>
      <c r="L216">
        <v>569</v>
      </c>
      <c r="M216">
        <v>1698</v>
      </c>
      <c r="N216" t="str">
        <f t="shared" si="6"/>
        <v>Baja Actividad</v>
      </c>
      <c r="O216" t="str">
        <f t="shared" si="7"/>
        <v>Bajo Sedentarismo</v>
      </c>
    </row>
    <row r="217" spans="1:15" x14ac:dyDescent="0.3">
      <c r="A217">
        <v>2026352035</v>
      </c>
      <c r="B217" s="1">
        <v>42709</v>
      </c>
      <c r="C217">
        <v>8891</v>
      </c>
      <c r="D217" s="2">
        <v>551000022888184</v>
      </c>
      <c r="E217">
        <v>0</v>
      </c>
      <c r="F217">
        <v>0</v>
      </c>
      <c r="G217" s="2">
        <v>551000022888184</v>
      </c>
      <c r="H217">
        <v>0</v>
      </c>
      <c r="I217">
        <v>0</v>
      </c>
      <c r="J217">
        <v>0</v>
      </c>
      <c r="K217">
        <v>343</v>
      </c>
      <c r="L217">
        <v>330</v>
      </c>
      <c r="M217">
        <v>1364</v>
      </c>
      <c r="N217" t="str">
        <f t="shared" si="6"/>
        <v>Baja Actividad</v>
      </c>
      <c r="O217" t="str">
        <f t="shared" si="7"/>
        <v>Bajo Sedentarismo</v>
      </c>
    </row>
    <row r="218" spans="1:15" x14ac:dyDescent="0.3">
      <c r="A218">
        <v>2320127002</v>
      </c>
      <c r="B218" s="1">
        <v>42708</v>
      </c>
      <c r="C218">
        <v>10725</v>
      </c>
      <c r="D218" s="2">
        <v>748999977111816</v>
      </c>
      <c r="E218" s="2">
        <v>116999995708466</v>
      </c>
      <c r="F218" t="s">
        <v>75</v>
      </c>
      <c r="G218" s="2">
        <v>601000022888184</v>
      </c>
      <c r="H218">
        <v>0</v>
      </c>
      <c r="I218">
        <v>13</v>
      </c>
      <c r="J218">
        <v>9</v>
      </c>
      <c r="K218">
        <v>306</v>
      </c>
      <c r="L218">
        <v>1112</v>
      </c>
      <c r="M218">
        <v>2124</v>
      </c>
      <c r="N218" t="str">
        <f t="shared" si="6"/>
        <v>Alta Actividad</v>
      </c>
      <c r="O218" t="str">
        <f t="shared" si="7"/>
        <v>Alto Sedentarismo</v>
      </c>
    </row>
    <row r="219" spans="1:15" x14ac:dyDescent="0.3">
      <c r="A219">
        <v>2320127002</v>
      </c>
      <c r="B219" t="s">
        <v>15</v>
      </c>
      <c r="C219">
        <v>7275</v>
      </c>
      <c r="D219" s="2">
        <v>490000009536743</v>
      </c>
      <c r="E219">
        <v>0</v>
      </c>
      <c r="F219">
        <v>0</v>
      </c>
      <c r="G219" s="2">
        <v>490000009536743</v>
      </c>
      <c r="H219">
        <v>0</v>
      </c>
      <c r="I219">
        <v>0</v>
      </c>
      <c r="J219">
        <v>0</v>
      </c>
      <c r="K219">
        <v>335</v>
      </c>
      <c r="L219">
        <v>1105</v>
      </c>
      <c r="M219">
        <v>2003</v>
      </c>
      <c r="N219" t="str">
        <f t="shared" si="6"/>
        <v>Baja Actividad</v>
      </c>
      <c r="O219" t="str">
        <f t="shared" si="7"/>
        <v>Alto Sedentarismo</v>
      </c>
    </row>
    <row r="220" spans="1:15" x14ac:dyDescent="0.3">
      <c r="A220">
        <v>2320127002</v>
      </c>
      <c r="B220" t="s">
        <v>17</v>
      </c>
      <c r="C220">
        <v>3973</v>
      </c>
      <c r="D220" s="2">
        <v>26800000667572</v>
      </c>
      <c r="E220">
        <v>0</v>
      </c>
      <c r="F220">
        <v>0</v>
      </c>
      <c r="G220" s="2">
        <v>26800000667572</v>
      </c>
      <c r="H220">
        <v>0</v>
      </c>
      <c r="I220">
        <v>0</v>
      </c>
      <c r="J220">
        <v>0</v>
      </c>
      <c r="K220">
        <v>191</v>
      </c>
      <c r="L220">
        <v>1249</v>
      </c>
      <c r="M220">
        <v>1696</v>
      </c>
      <c r="N220" t="str">
        <f t="shared" si="6"/>
        <v>Baja Actividad</v>
      </c>
      <c r="O220" t="str">
        <f t="shared" si="7"/>
        <v>Alto Sedentarismo</v>
      </c>
    </row>
    <row r="221" spans="1:15" x14ac:dyDescent="0.3">
      <c r="A221">
        <v>2320127002</v>
      </c>
      <c r="B221" t="s">
        <v>19</v>
      </c>
      <c r="C221">
        <v>5205</v>
      </c>
      <c r="D221" s="2">
        <v>350999999046326</v>
      </c>
      <c r="E221">
        <v>0</v>
      </c>
      <c r="F221">
        <v>0</v>
      </c>
      <c r="G221" s="2">
        <v>350999999046326</v>
      </c>
      <c r="H221">
        <v>0</v>
      </c>
      <c r="I221">
        <v>0</v>
      </c>
      <c r="J221">
        <v>0</v>
      </c>
      <c r="K221">
        <v>245</v>
      </c>
      <c r="L221">
        <v>1195</v>
      </c>
      <c r="M221">
        <v>1801</v>
      </c>
      <c r="N221" t="str">
        <f t="shared" si="6"/>
        <v>Baja Actividad</v>
      </c>
      <c r="O221" t="str">
        <f t="shared" si="7"/>
        <v>Alto Sedentarismo</v>
      </c>
    </row>
    <row r="222" spans="1:15" x14ac:dyDescent="0.3">
      <c r="A222">
        <v>2320127002</v>
      </c>
      <c r="B222" t="s">
        <v>20</v>
      </c>
      <c r="C222">
        <v>5057</v>
      </c>
      <c r="D222" s="2">
        <v>341000008583069</v>
      </c>
      <c r="E222">
        <v>0</v>
      </c>
      <c r="F222">
        <v>0</v>
      </c>
      <c r="G222" s="2">
        <v>340000009536743</v>
      </c>
      <c r="H222">
        <v>0</v>
      </c>
      <c r="I222">
        <v>0</v>
      </c>
      <c r="J222">
        <v>0</v>
      </c>
      <c r="K222">
        <v>195</v>
      </c>
      <c r="L222">
        <v>1245</v>
      </c>
      <c r="M222">
        <v>1724</v>
      </c>
      <c r="N222" t="str">
        <f t="shared" si="6"/>
        <v>Baja Actividad</v>
      </c>
      <c r="O222" t="str">
        <f t="shared" si="7"/>
        <v>Alto Sedentarismo</v>
      </c>
    </row>
    <row r="223" spans="1:15" x14ac:dyDescent="0.3">
      <c r="A223">
        <v>2320127002</v>
      </c>
      <c r="B223" t="s">
        <v>22</v>
      </c>
      <c r="C223">
        <v>6198</v>
      </c>
      <c r="D223" s="2">
        <v>417999982833862</v>
      </c>
      <c r="E223">
        <v>0</v>
      </c>
      <c r="F223">
        <v>0</v>
      </c>
      <c r="G223" s="2">
        <v>417999982833862</v>
      </c>
      <c r="H223">
        <v>0</v>
      </c>
      <c r="I223">
        <v>0</v>
      </c>
      <c r="J223">
        <v>0</v>
      </c>
      <c r="K223">
        <v>249</v>
      </c>
      <c r="L223">
        <v>1191</v>
      </c>
      <c r="M223">
        <v>1852</v>
      </c>
      <c r="N223" t="str">
        <f t="shared" si="6"/>
        <v>Baja Actividad</v>
      </c>
      <c r="O223" t="str">
        <f t="shared" si="7"/>
        <v>Alto Sedentarismo</v>
      </c>
    </row>
    <row r="224" spans="1:15" x14ac:dyDescent="0.3">
      <c r="A224">
        <v>2320127002</v>
      </c>
      <c r="B224" t="s">
        <v>24</v>
      </c>
      <c r="C224">
        <v>6559</v>
      </c>
      <c r="D224" s="2">
        <v>442000007629395</v>
      </c>
      <c r="E224">
        <v>0</v>
      </c>
      <c r="F224" t="s">
        <v>85</v>
      </c>
      <c r="G224" s="2">
        <v>41399998664856</v>
      </c>
      <c r="H224">
        <v>0</v>
      </c>
      <c r="I224">
        <v>0</v>
      </c>
      <c r="J224">
        <v>7</v>
      </c>
      <c r="K224">
        <v>260</v>
      </c>
      <c r="L224">
        <v>1173</v>
      </c>
      <c r="M224">
        <v>1905</v>
      </c>
      <c r="N224" t="str">
        <f t="shared" si="6"/>
        <v>Baja Actividad</v>
      </c>
      <c r="O224" t="str">
        <f t="shared" si="7"/>
        <v>Alto Sedentarismo</v>
      </c>
    </row>
    <row r="225" spans="1:15" x14ac:dyDescent="0.3">
      <c r="A225">
        <v>2320127002</v>
      </c>
      <c r="B225" t="s">
        <v>27</v>
      </c>
      <c r="C225">
        <v>5997</v>
      </c>
      <c r="D225" s="2">
        <v>403999996185303</v>
      </c>
      <c r="E225">
        <v>0</v>
      </c>
      <c r="F225" t="s">
        <v>114</v>
      </c>
      <c r="G225" s="2">
        <v>366000008583069</v>
      </c>
      <c r="H225">
        <v>0</v>
      </c>
      <c r="I225">
        <v>0</v>
      </c>
      <c r="J225">
        <v>11</v>
      </c>
      <c r="K225">
        <v>228</v>
      </c>
      <c r="L225">
        <v>1201</v>
      </c>
      <c r="M225">
        <v>1811</v>
      </c>
      <c r="N225" t="str">
        <f t="shared" si="6"/>
        <v>Baja Actividad</v>
      </c>
      <c r="O225" t="str">
        <f t="shared" si="7"/>
        <v>Alto Sedentarismo</v>
      </c>
    </row>
    <row r="226" spans="1:15" x14ac:dyDescent="0.3">
      <c r="A226">
        <v>2320127002</v>
      </c>
      <c r="B226" t="s">
        <v>28</v>
      </c>
      <c r="C226">
        <v>7192</v>
      </c>
      <c r="D226" s="2">
        <v>484999990463257</v>
      </c>
      <c r="E226">
        <v>0</v>
      </c>
      <c r="F226" t="s">
        <v>115</v>
      </c>
      <c r="G226" s="2">
        <v>434000015258789</v>
      </c>
      <c r="H226">
        <v>0</v>
      </c>
      <c r="I226">
        <v>0</v>
      </c>
      <c r="J226">
        <v>11</v>
      </c>
      <c r="K226">
        <v>283</v>
      </c>
      <c r="L226">
        <v>1146</v>
      </c>
      <c r="M226">
        <v>1922</v>
      </c>
      <c r="N226" t="str">
        <f t="shared" si="6"/>
        <v>Baja Actividad</v>
      </c>
      <c r="O226" t="str">
        <f t="shared" si="7"/>
        <v>Alto Sedentarismo</v>
      </c>
    </row>
    <row r="227" spans="1:15" x14ac:dyDescent="0.3">
      <c r="A227">
        <v>2320127002</v>
      </c>
      <c r="B227" t="s">
        <v>30</v>
      </c>
      <c r="C227">
        <v>3404</v>
      </c>
      <c r="D227" s="2">
        <v>228999996185303</v>
      </c>
      <c r="E227" t="s">
        <v>69</v>
      </c>
      <c r="F227" t="s">
        <v>102</v>
      </c>
      <c r="G227" s="2">
        <v>180999994277954</v>
      </c>
      <c r="H227">
        <v>0</v>
      </c>
      <c r="I227">
        <v>1</v>
      </c>
      <c r="J227">
        <v>10</v>
      </c>
      <c r="K227">
        <v>127</v>
      </c>
      <c r="L227">
        <v>1302</v>
      </c>
      <c r="M227">
        <v>1610</v>
      </c>
      <c r="N227" t="str">
        <f t="shared" si="6"/>
        <v>Baja Actividad</v>
      </c>
      <c r="O227" t="str">
        <f t="shared" si="7"/>
        <v>Alto Sedentarismo</v>
      </c>
    </row>
    <row r="228" spans="1:15" x14ac:dyDescent="0.3">
      <c r="A228">
        <v>2320127002</v>
      </c>
      <c r="B228" t="s">
        <v>32</v>
      </c>
      <c r="C228">
        <v>5583</v>
      </c>
      <c r="D228" s="2">
        <v>375999999046326</v>
      </c>
      <c r="E228">
        <v>0</v>
      </c>
      <c r="F228">
        <v>0</v>
      </c>
      <c r="G228" s="2">
        <v>375999999046326</v>
      </c>
      <c r="H228">
        <v>0</v>
      </c>
      <c r="I228">
        <v>0</v>
      </c>
      <c r="J228">
        <v>0</v>
      </c>
      <c r="K228">
        <v>266</v>
      </c>
      <c r="L228">
        <v>1174</v>
      </c>
      <c r="M228">
        <v>1851</v>
      </c>
      <c r="N228" t="str">
        <f t="shared" si="6"/>
        <v>Baja Actividad</v>
      </c>
      <c r="O228" t="str">
        <f t="shared" si="7"/>
        <v>Alto Sedentarismo</v>
      </c>
    </row>
    <row r="229" spans="1:15" x14ac:dyDescent="0.3">
      <c r="A229">
        <v>2320127002</v>
      </c>
      <c r="B229" t="s">
        <v>33</v>
      </c>
      <c r="C229">
        <v>5079</v>
      </c>
      <c r="D229" s="2">
        <v>342000007629395</v>
      </c>
      <c r="E229">
        <v>0</v>
      </c>
      <c r="F229">
        <v>0</v>
      </c>
      <c r="G229" s="2">
        <v>342000007629395</v>
      </c>
      <c r="H229">
        <v>0</v>
      </c>
      <c r="I229">
        <v>0</v>
      </c>
      <c r="J229">
        <v>0</v>
      </c>
      <c r="K229">
        <v>242</v>
      </c>
      <c r="L229">
        <v>1129</v>
      </c>
      <c r="M229">
        <v>1804</v>
      </c>
      <c r="N229" t="str">
        <f t="shared" si="6"/>
        <v>Baja Actividad</v>
      </c>
      <c r="O229" t="str">
        <f t="shared" si="7"/>
        <v>Alto Sedentarismo</v>
      </c>
    </row>
    <row r="230" spans="1:15" x14ac:dyDescent="0.3">
      <c r="A230">
        <v>2320127002</v>
      </c>
      <c r="B230" t="s">
        <v>35</v>
      </c>
      <c r="C230">
        <v>4165</v>
      </c>
      <c r="D230" s="2">
        <v>280999994277954</v>
      </c>
      <c r="E230">
        <v>0</v>
      </c>
      <c r="F230">
        <v>0</v>
      </c>
      <c r="G230" s="2">
        <v>279999995231628</v>
      </c>
      <c r="H230">
        <v>0</v>
      </c>
      <c r="I230">
        <v>0</v>
      </c>
      <c r="J230">
        <v>0</v>
      </c>
      <c r="K230">
        <v>204</v>
      </c>
      <c r="L230">
        <v>1236</v>
      </c>
      <c r="M230">
        <v>1725</v>
      </c>
      <c r="N230" t="str">
        <f t="shared" si="6"/>
        <v>Baja Actividad</v>
      </c>
      <c r="O230" t="str">
        <f t="shared" si="7"/>
        <v>Alto Sedentarismo</v>
      </c>
    </row>
    <row r="231" spans="1:15" x14ac:dyDescent="0.3">
      <c r="A231">
        <v>2320127002</v>
      </c>
      <c r="B231" t="s">
        <v>37</v>
      </c>
      <c r="C231">
        <v>3588</v>
      </c>
      <c r="D231" s="2">
        <v>242000007629395</v>
      </c>
      <c r="E231" t="s">
        <v>116</v>
      </c>
      <c r="F231" t="s">
        <v>56</v>
      </c>
      <c r="G231" s="2">
        <v>199000000953674</v>
      </c>
      <c r="H231">
        <v>0</v>
      </c>
      <c r="I231">
        <v>3</v>
      </c>
      <c r="J231">
        <v>5</v>
      </c>
      <c r="K231">
        <v>152</v>
      </c>
      <c r="L231">
        <v>1280</v>
      </c>
      <c r="M231">
        <v>1654</v>
      </c>
      <c r="N231" t="str">
        <f t="shared" si="6"/>
        <v>Baja Actividad</v>
      </c>
      <c r="O231" t="str">
        <f t="shared" si="7"/>
        <v>Alto Sedentarismo</v>
      </c>
    </row>
    <row r="232" spans="1:15" x14ac:dyDescent="0.3">
      <c r="A232">
        <v>2320127002</v>
      </c>
      <c r="B232" t="s">
        <v>39</v>
      </c>
      <c r="C232">
        <v>3409</v>
      </c>
      <c r="D232" s="2">
        <v>229999995231628</v>
      </c>
      <c r="E232">
        <v>0</v>
      </c>
      <c r="F232">
        <v>0</v>
      </c>
      <c r="G232" s="2">
        <v>229999995231628</v>
      </c>
      <c r="H232">
        <v>0</v>
      </c>
      <c r="I232">
        <v>0</v>
      </c>
      <c r="J232">
        <v>0</v>
      </c>
      <c r="K232">
        <v>147</v>
      </c>
      <c r="L232">
        <v>1293</v>
      </c>
      <c r="M232">
        <v>1632</v>
      </c>
      <c r="N232" t="str">
        <f t="shared" si="6"/>
        <v>Baja Actividad</v>
      </c>
      <c r="O232" t="str">
        <f t="shared" si="7"/>
        <v>Alto Sedentarismo</v>
      </c>
    </row>
    <row r="233" spans="1:15" x14ac:dyDescent="0.3">
      <c r="A233">
        <v>2320127002</v>
      </c>
      <c r="B233" t="s">
        <v>41</v>
      </c>
      <c r="C233">
        <v>1715</v>
      </c>
      <c r="D233" s="2">
        <v>11599999666214</v>
      </c>
      <c r="E233">
        <v>0</v>
      </c>
      <c r="F233">
        <v>0</v>
      </c>
      <c r="G233" s="2">
        <v>11599999666214</v>
      </c>
      <c r="H233">
        <v>0</v>
      </c>
      <c r="I233">
        <v>0</v>
      </c>
      <c r="J233">
        <v>0</v>
      </c>
      <c r="K233">
        <v>82</v>
      </c>
      <c r="L233">
        <v>1358</v>
      </c>
      <c r="M233">
        <v>1481</v>
      </c>
      <c r="N233" t="str">
        <f t="shared" si="6"/>
        <v>Baja Actividad</v>
      </c>
      <c r="O233" t="str">
        <f t="shared" si="7"/>
        <v>Alto Sedentarismo</v>
      </c>
    </row>
    <row r="234" spans="1:15" x14ac:dyDescent="0.3">
      <c r="A234">
        <v>2320127002</v>
      </c>
      <c r="B234" t="s">
        <v>42</v>
      </c>
      <c r="C234">
        <v>1532</v>
      </c>
      <c r="D234" s="2">
        <v>102999997138977</v>
      </c>
      <c r="E234">
        <v>0</v>
      </c>
      <c r="F234">
        <v>0</v>
      </c>
      <c r="G234" s="2">
        <v>102999997138977</v>
      </c>
      <c r="H234">
        <v>0</v>
      </c>
      <c r="I234">
        <v>0</v>
      </c>
      <c r="J234">
        <v>0</v>
      </c>
      <c r="K234">
        <v>76</v>
      </c>
      <c r="L234">
        <v>1364</v>
      </c>
      <c r="M234">
        <v>1473</v>
      </c>
      <c r="N234" t="str">
        <f t="shared" si="6"/>
        <v>Baja Actividad</v>
      </c>
      <c r="O234" t="str">
        <f t="shared" si="7"/>
        <v>Alto Sedentarismo</v>
      </c>
    </row>
    <row r="235" spans="1:15" x14ac:dyDescent="0.3">
      <c r="A235">
        <v>2320127002</v>
      </c>
      <c r="B235" t="s">
        <v>43</v>
      </c>
      <c r="C235">
        <v>924</v>
      </c>
      <c r="D235" t="s">
        <v>53</v>
      </c>
      <c r="E235">
        <v>0</v>
      </c>
      <c r="F235">
        <v>0</v>
      </c>
      <c r="G235" t="s">
        <v>53</v>
      </c>
      <c r="H235">
        <v>0</v>
      </c>
      <c r="I235">
        <v>0</v>
      </c>
      <c r="J235">
        <v>0</v>
      </c>
      <c r="K235">
        <v>45</v>
      </c>
      <c r="L235">
        <v>1395</v>
      </c>
      <c r="M235">
        <v>1410</v>
      </c>
      <c r="N235" t="str">
        <f t="shared" si="6"/>
        <v>Baja Actividad</v>
      </c>
      <c r="O235" t="str">
        <f t="shared" si="7"/>
        <v>Alto Sedentarismo</v>
      </c>
    </row>
    <row r="236" spans="1:15" x14ac:dyDescent="0.3">
      <c r="A236">
        <v>2320127002</v>
      </c>
      <c r="B236" t="s">
        <v>45</v>
      </c>
      <c r="C236">
        <v>4571</v>
      </c>
      <c r="D236" s="2">
        <v>307999992370605</v>
      </c>
      <c r="E236">
        <v>0</v>
      </c>
      <c r="F236">
        <v>0</v>
      </c>
      <c r="G236" s="2">
        <v>30699999332428</v>
      </c>
      <c r="H236">
        <v>0</v>
      </c>
      <c r="I236">
        <v>0</v>
      </c>
      <c r="J236">
        <v>0</v>
      </c>
      <c r="K236">
        <v>234</v>
      </c>
      <c r="L236">
        <v>1206</v>
      </c>
      <c r="M236">
        <v>1779</v>
      </c>
      <c r="N236" t="str">
        <f t="shared" si="6"/>
        <v>Baja Actividad</v>
      </c>
      <c r="O236" t="str">
        <f t="shared" si="7"/>
        <v>Alto Sedentarismo</v>
      </c>
    </row>
    <row r="237" spans="1:15" x14ac:dyDescent="0.3">
      <c r="A237">
        <v>2320127002</v>
      </c>
      <c r="B237" s="1">
        <v>42374</v>
      </c>
      <c r="C237">
        <v>772</v>
      </c>
      <c r="D237" t="s">
        <v>77</v>
      </c>
      <c r="E237">
        <v>0</v>
      </c>
      <c r="F237">
        <v>0</v>
      </c>
      <c r="G237" t="s">
        <v>77</v>
      </c>
      <c r="H237">
        <v>0</v>
      </c>
      <c r="I237">
        <v>0</v>
      </c>
      <c r="J237">
        <v>0</v>
      </c>
      <c r="K237">
        <v>40</v>
      </c>
      <c r="L237">
        <v>1400</v>
      </c>
      <c r="M237">
        <v>1403</v>
      </c>
      <c r="N237" t="str">
        <f t="shared" si="6"/>
        <v>Baja Actividad</v>
      </c>
      <c r="O237" t="str">
        <f t="shared" si="7"/>
        <v>Alto Sedentarismo</v>
      </c>
    </row>
    <row r="238" spans="1:15" x14ac:dyDescent="0.3">
      <c r="A238">
        <v>2320127002</v>
      </c>
      <c r="B238" s="1">
        <v>42405</v>
      </c>
      <c r="C238">
        <v>3634</v>
      </c>
      <c r="D238" s="2">
        <v>245000004768372</v>
      </c>
      <c r="E238" t="s">
        <v>61</v>
      </c>
      <c r="F238" t="s">
        <v>36</v>
      </c>
      <c r="G238" s="2">
        <v>187999999523163</v>
      </c>
      <c r="H238">
        <v>0</v>
      </c>
      <c r="I238">
        <v>5</v>
      </c>
      <c r="J238">
        <v>6</v>
      </c>
      <c r="K238">
        <v>123</v>
      </c>
      <c r="L238">
        <v>1306</v>
      </c>
      <c r="M238">
        <v>1613</v>
      </c>
      <c r="N238" t="str">
        <f t="shared" si="6"/>
        <v>Baja Actividad</v>
      </c>
      <c r="O238" t="str">
        <f t="shared" si="7"/>
        <v>Alto Sedentarismo</v>
      </c>
    </row>
    <row r="239" spans="1:15" x14ac:dyDescent="0.3">
      <c r="A239">
        <v>2320127002</v>
      </c>
      <c r="B239" s="1">
        <v>42434</v>
      </c>
      <c r="C239">
        <v>7443</v>
      </c>
      <c r="D239" s="2">
        <v>501999998092651</v>
      </c>
      <c r="E239" s="2">
        <v>149000000953674</v>
      </c>
      <c r="F239" t="s">
        <v>117</v>
      </c>
      <c r="G239" s="2">
        <v>316000008583069</v>
      </c>
      <c r="H239">
        <v>0</v>
      </c>
      <c r="I239">
        <v>20</v>
      </c>
      <c r="J239">
        <v>10</v>
      </c>
      <c r="K239">
        <v>206</v>
      </c>
      <c r="L239">
        <v>1204</v>
      </c>
      <c r="M239">
        <v>1878</v>
      </c>
      <c r="N239" t="str">
        <f t="shared" si="6"/>
        <v>Baja Actividad</v>
      </c>
      <c r="O239" t="str">
        <f t="shared" si="7"/>
        <v>Alto Sedentarismo</v>
      </c>
    </row>
    <row r="240" spans="1:15" x14ac:dyDescent="0.3">
      <c r="A240">
        <v>2320127002</v>
      </c>
      <c r="B240" s="1">
        <v>42465</v>
      </c>
      <c r="C240">
        <v>1201</v>
      </c>
      <c r="D240" t="s">
        <v>82</v>
      </c>
      <c r="E240">
        <v>0</v>
      </c>
      <c r="F240">
        <v>0</v>
      </c>
      <c r="G240" t="s">
        <v>82</v>
      </c>
      <c r="H240">
        <v>0</v>
      </c>
      <c r="I240">
        <v>0</v>
      </c>
      <c r="J240">
        <v>0</v>
      </c>
      <c r="K240">
        <v>52</v>
      </c>
      <c r="L240">
        <v>1388</v>
      </c>
      <c r="M240">
        <v>1426</v>
      </c>
      <c r="N240" t="str">
        <f t="shared" si="6"/>
        <v>Baja Actividad</v>
      </c>
      <c r="O240" t="str">
        <f t="shared" si="7"/>
        <v>Alto Sedentarismo</v>
      </c>
    </row>
    <row r="241" spans="1:15" x14ac:dyDescent="0.3">
      <c r="A241">
        <v>2320127002</v>
      </c>
      <c r="B241" s="1">
        <v>42495</v>
      </c>
      <c r="C241">
        <v>5202</v>
      </c>
      <c r="D241" s="2">
        <v>350999999046326</v>
      </c>
      <c r="E241">
        <v>0</v>
      </c>
      <c r="F241" t="s">
        <v>118</v>
      </c>
      <c r="G241" s="2">
        <v>310999989509583</v>
      </c>
      <c r="H241">
        <v>0</v>
      </c>
      <c r="I241">
        <v>0</v>
      </c>
      <c r="J241">
        <v>11</v>
      </c>
      <c r="K241">
        <v>223</v>
      </c>
      <c r="L241">
        <v>1206</v>
      </c>
      <c r="M241">
        <v>1780</v>
      </c>
      <c r="N241" t="str">
        <f t="shared" si="6"/>
        <v>Baja Actividad</v>
      </c>
      <c r="O241" t="str">
        <f t="shared" si="7"/>
        <v>Alto Sedentarismo</v>
      </c>
    </row>
    <row r="242" spans="1:15" x14ac:dyDescent="0.3">
      <c r="A242">
        <v>2320127002</v>
      </c>
      <c r="B242" s="1">
        <v>42526</v>
      </c>
      <c r="C242">
        <v>4878</v>
      </c>
      <c r="D242" s="2">
        <v>328999996185303</v>
      </c>
      <c r="E242">
        <v>0</v>
      </c>
      <c r="F242">
        <v>0</v>
      </c>
      <c r="G242" s="2">
        <v>328999996185303</v>
      </c>
      <c r="H242">
        <v>0</v>
      </c>
      <c r="I242">
        <v>0</v>
      </c>
      <c r="J242">
        <v>0</v>
      </c>
      <c r="K242">
        <v>204</v>
      </c>
      <c r="L242">
        <v>1236</v>
      </c>
      <c r="M242">
        <v>1742</v>
      </c>
      <c r="N242" t="str">
        <f t="shared" si="6"/>
        <v>Baja Actividad</v>
      </c>
      <c r="O242" t="str">
        <f t="shared" si="7"/>
        <v>Alto Sedentarismo</v>
      </c>
    </row>
    <row r="243" spans="1:15" x14ac:dyDescent="0.3">
      <c r="A243">
        <v>2320127002</v>
      </c>
      <c r="B243" s="1">
        <v>42556</v>
      </c>
      <c r="C243">
        <v>7379</v>
      </c>
      <c r="D243" s="2">
        <v>496999979019165</v>
      </c>
      <c r="E243">
        <v>0</v>
      </c>
      <c r="F243">
        <v>0</v>
      </c>
      <c r="G243" s="2">
        <v>496999979019165</v>
      </c>
      <c r="H243">
        <v>0</v>
      </c>
      <c r="I243">
        <v>0</v>
      </c>
      <c r="J243">
        <v>0</v>
      </c>
      <c r="K243">
        <v>319</v>
      </c>
      <c r="L243">
        <v>1121</v>
      </c>
      <c r="M243">
        <v>1972</v>
      </c>
      <c r="N243" t="str">
        <f t="shared" si="6"/>
        <v>Baja Actividad</v>
      </c>
      <c r="O243" t="str">
        <f t="shared" si="7"/>
        <v>Alto Sedentarismo</v>
      </c>
    </row>
    <row r="244" spans="1:15" x14ac:dyDescent="0.3">
      <c r="A244">
        <v>2320127002</v>
      </c>
      <c r="B244" s="1">
        <v>42587</v>
      </c>
      <c r="C244">
        <v>5161</v>
      </c>
      <c r="D244" s="2">
        <v>348000001907349</v>
      </c>
      <c r="E244">
        <v>0</v>
      </c>
      <c r="F244">
        <v>0</v>
      </c>
      <c r="G244" s="2">
        <v>347000002861023</v>
      </c>
      <c r="H244">
        <v>0</v>
      </c>
      <c r="I244">
        <v>0</v>
      </c>
      <c r="J244">
        <v>0</v>
      </c>
      <c r="K244">
        <v>247</v>
      </c>
      <c r="L244">
        <v>1193</v>
      </c>
      <c r="M244">
        <v>1821</v>
      </c>
      <c r="N244" t="str">
        <f t="shared" si="6"/>
        <v>Baja Actividad</v>
      </c>
      <c r="O244" t="str">
        <f t="shared" si="7"/>
        <v>Alto Sedentarismo</v>
      </c>
    </row>
    <row r="245" spans="1:15" x14ac:dyDescent="0.3">
      <c r="A245">
        <v>2320127002</v>
      </c>
      <c r="B245" s="1">
        <v>42618</v>
      </c>
      <c r="C245">
        <v>3090</v>
      </c>
      <c r="D245" s="2">
        <v>207999992370605</v>
      </c>
      <c r="E245">
        <v>0</v>
      </c>
      <c r="F245">
        <v>0</v>
      </c>
      <c r="G245" s="2">
        <v>207999992370605</v>
      </c>
      <c r="H245">
        <v>0</v>
      </c>
      <c r="I245">
        <v>0</v>
      </c>
      <c r="J245">
        <v>0</v>
      </c>
      <c r="K245">
        <v>145</v>
      </c>
      <c r="L245">
        <v>1295</v>
      </c>
      <c r="M245">
        <v>1630</v>
      </c>
      <c r="N245" t="str">
        <f t="shared" si="6"/>
        <v>Baja Actividad</v>
      </c>
      <c r="O245" t="str">
        <f t="shared" si="7"/>
        <v>Alto Sedentarismo</v>
      </c>
    </row>
    <row r="246" spans="1:15" x14ac:dyDescent="0.3">
      <c r="A246">
        <v>2320127002</v>
      </c>
      <c r="B246" s="1">
        <v>42648</v>
      </c>
      <c r="C246">
        <v>6227</v>
      </c>
      <c r="D246" s="2">
        <v>419999980926514</v>
      </c>
      <c r="E246">
        <v>0</v>
      </c>
      <c r="F246">
        <v>0</v>
      </c>
      <c r="G246" s="2">
        <v>419999980926514</v>
      </c>
      <c r="H246">
        <v>0</v>
      </c>
      <c r="I246">
        <v>0</v>
      </c>
      <c r="J246">
        <v>0</v>
      </c>
      <c r="K246">
        <v>290</v>
      </c>
      <c r="L246">
        <v>1150</v>
      </c>
      <c r="M246">
        <v>1899</v>
      </c>
      <c r="N246" t="str">
        <f t="shared" si="6"/>
        <v>Baja Actividad</v>
      </c>
      <c r="O246" t="str">
        <f t="shared" si="7"/>
        <v>Alto Sedentarismo</v>
      </c>
    </row>
    <row r="247" spans="1:15" x14ac:dyDescent="0.3">
      <c r="A247">
        <v>2320127002</v>
      </c>
      <c r="B247" s="1">
        <v>42679</v>
      </c>
      <c r="C247">
        <v>6424</v>
      </c>
      <c r="D247" s="2">
        <v>432999992370605</v>
      </c>
      <c r="E247">
        <v>0</v>
      </c>
      <c r="F247">
        <v>0</v>
      </c>
      <c r="G247" s="2">
        <v>432999992370605</v>
      </c>
      <c r="H247">
        <v>0</v>
      </c>
      <c r="I247">
        <v>0</v>
      </c>
      <c r="J247">
        <v>0</v>
      </c>
      <c r="K247">
        <v>300</v>
      </c>
      <c r="L247">
        <v>1140</v>
      </c>
      <c r="M247">
        <v>1903</v>
      </c>
      <c r="N247" t="str">
        <f t="shared" si="6"/>
        <v>Baja Actividad</v>
      </c>
      <c r="O247" t="str">
        <f t="shared" si="7"/>
        <v>Alto Sedentarismo</v>
      </c>
    </row>
    <row r="248" spans="1:15" x14ac:dyDescent="0.3">
      <c r="A248">
        <v>2320127002</v>
      </c>
      <c r="B248" s="1">
        <v>42709</v>
      </c>
      <c r="C248">
        <v>2661</v>
      </c>
      <c r="D248" s="2">
        <v>178999996185303</v>
      </c>
      <c r="E248">
        <v>0</v>
      </c>
      <c r="F248">
        <v>0</v>
      </c>
      <c r="G248" s="2">
        <v>178999996185303</v>
      </c>
      <c r="H248">
        <v>0</v>
      </c>
      <c r="I248">
        <v>0</v>
      </c>
      <c r="J248">
        <v>0</v>
      </c>
      <c r="K248">
        <v>128</v>
      </c>
      <c r="L248">
        <v>830</v>
      </c>
      <c r="M248">
        <v>1125</v>
      </c>
      <c r="N248" t="str">
        <f t="shared" si="6"/>
        <v>Baja Actividad</v>
      </c>
      <c r="O248" t="str">
        <f t="shared" si="7"/>
        <v>Alto Sedentarismo</v>
      </c>
    </row>
    <row r="249" spans="1:15" x14ac:dyDescent="0.3">
      <c r="A249">
        <v>2347167796</v>
      </c>
      <c r="B249" s="1">
        <v>42708</v>
      </c>
      <c r="C249">
        <v>10113</v>
      </c>
      <c r="D249" s="2">
        <v>682999992370605</v>
      </c>
      <c r="E249">
        <v>2</v>
      </c>
      <c r="F249" t="s">
        <v>53</v>
      </c>
      <c r="G249" s="2">
        <v>419999980926514</v>
      </c>
      <c r="H249">
        <v>0</v>
      </c>
      <c r="I249">
        <v>28</v>
      </c>
      <c r="J249">
        <v>13</v>
      </c>
      <c r="K249">
        <v>320</v>
      </c>
      <c r="L249">
        <v>964</v>
      </c>
      <c r="M249">
        <v>2344</v>
      </c>
      <c r="N249" t="str">
        <f t="shared" si="6"/>
        <v>Alta Actividad</v>
      </c>
      <c r="O249" t="str">
        <f t="shared" si="7"/>
        <v>Alto Sedentarismo</v>
      </c>
    </row>
    <row r="250" spans="1:15" x14ac:dyDescent="0.3">
      <c r="A250">
        <v>2347167796</v>
      </c>
      <c r="B250" t="s">
        <v>15</v>
      </c>
      <c r="C250">
        <v>10352</v>
      </c>
      <c r="D250" s="2">
        <v>701000022888184</v>
      </c>
      <c r="E250" s="2">
        <v>16599999666214</v>
      </c>
      <c r="F250" s="2">
        <v>194000005722046</v>
      </c>
      <c r="G250" s="2">
        <v>341000008583069</v>
      </c>
      <c r="H250">
        <v>0</v>
      </c>
      <c r="I250">
        <v>19</v>
      </c>
      <c r="J250">
        <v>32</v>
      </c>
      <c r="K250">
        <v>195</v>
      </c>
      <c r="L250">
        <v>676</v>
      </c>
      <c r="M250">
        <v>2038</v>
      </c>
      <c r="N250" t="str">
        <f t="shared" si="6"/>
        <v>Alta Actividad</v>
      </c>
      <c r="O250" t="str">
        <f t="shared" si="7"/>
        <v>Bajo Sedentarismo</v>
      </c>
    </row>
    <row r="251" spans="1:15" x14ac:dyDescent="0.3">
      <c r="A251">
        <v>2347167796</v>
      </c>
      <c r="B251" t="s">
        <v>17</v>
      </c>
      <c r="C251">
        <v>10129</v>
      </c>
      <c r="D251" s="2">
        <v>669999980926514</v>
      </c>
      <c r="E251" t="s">
        <v>54</v>
      </c>
      <c r="F251" s="2">
        <v>274000000953674</v>
      </c>
      <c r="G251" s="2">
        <v>394000005722046</v>
      </c>
      <c r="H251">
        <v>0</v>
      </c>
      <c r="I251">
        <v>1</v>
      </c>
      <c r="J251">
        <v>48</v>
      </c>
      <c r="K251">
        <v>206</v>
      </c>
      <c r="L251">
        <v>705</v>
      </c>
      <c r="M251">
        <v>2010</v>
      </c>
      <c r="N251" t="str">
        <f t="shared" si="6"/>
        <v>Alta Actividad</v>
      </c>
      <c r="O251" t="str">
        <f t="shared" si="7"/>
        <v>Alto Sedentarismo</v>
      </c>
    </row>
    <row r="252" spans="1:15" x14ac:dyDescent="0.3">
      <c r="A252">
        <v>2347167796</v>
      </c>
      <c r="B252" t="s">
        <v>19</v>
      </c>
      <c r="C252">
        <v>10465</v>
      </c>
      <c r="D252" s="2">
        <v>692000007629395</v>
      </c>
      <c r="E252" t="s">
        <v>74</v>
      </c>
      <c r="F252" s="2">
        <v>141999995708466</v>
      </c>
      <c r="G252" s="2">
        <v>542999982833862</v>
      </c>
      <c r="H252">
        <v>0</v>
      </c>
      <c r="I252">
        <v>1</v>
      </c>
      <c r="J252">
        <v>24</v>
      </c>
      <c r="K252">
        <v>284</v>
      </c>
      <c r="L252">
        <v>720</v>
      </c>
      <c r="M252">
        <v>2133</v>
      </c>
      <c r="N252" t="str">
        <f t="shared" si="6"/>
        <v>Alta Actividad</v>
      </c>
      <c r="O252" t="str">
        <f t="shared" si="7"/>
        <v>Alto Sedentarismo</v>
      </c>
    </row>
    <row r="253" spans="1:15" x14ac:dyDescent="0.3">
      <c r="A253">
        <v>2347167796</v>
      </c>
      <c r="B253" t="s">
        <v>20</v>
      </c>
      <c r="C253">
        <v>22244</v>
      </c>
      <c r="D253" s="2">
        <v>150799999237061</v>
      </c>
      <c r="E253" s="2">
        <v>544999980926514</v>
      </c>
      <c r="F253" s="2">
        <v>409999990463257</v>
      </c>
      <c r="G253" s="2">
        <v>553000020980835</v>
      </c>
      <c r="H253">
        <v>0</v>
      </c>
      <c r="I253">
        <v>66</v>
      </c>
      <c r="J253">
        <v>72</v>
      </c>
      <c r="K253">
        <v>268</v>
      </c>
      <c r="L253">
        <v>968</v>
      </c>
      <c r="M253">
        <v>2670</v>
      </c>
      <c r="N253" t="str">
        <f t="shared" si="6"/>
        <v>Alta Actividad</v>
      </c>
      <c r="O253" t="str">
        <f t="shared" si="7"/>
        <v>Alto Sedentarismo</v>
      </c>
    </row>
    <row r="254" spans="1:15" x14ac:dyDescent="0.3">
      <c r="A254">
        <v>2347167796</v>
      </c>
      <c r="B254" t="s">
        <v>22</v>
      </c>
      <c r="C254">
        <v>5472</v>
      </c>
      <c r="D254" s="2">
        <v>361999988555908</v>
      </c>
      <c r="E254" t="s">
        <v>111</v>
      </c>
      <c r="F254" t="s">
        <v>119</v>
      </c>
      <c r="G254" s="2">
        <v>325999999046326</v>
      </c>
      <c r="H254">
        <v>0</v>
      </c>
      <c r="I254">
        <v>1</v>
      </c>
      <c r="J254">
        <v>7</v>
      </c>
      <c r="K254">
        <v>249</v>
      </c>
      <c r="L254">
        <v>508</v>
      </c>
      <c r="M254">
        <v>1882</v>
      </c>
      <c r="N254" t="str">
        <f t="shared" si="6"/>
        <v>Baja Actividad</v>
      </c>
      <c r="O254" t="str">
        <f t="shared" si="7"/>
        <v>Bajo Sedentarismo</v>
      </c>
    </row>
    <row r="255" spans="1:15" x14ac:dyDescent="0.3">
      <c r="A255">
        <v>2347167796</v>
      </c>
      <c r="B255" t="s">
        <v>24</v>
      </c>
      <c r="C255">
        <v>8247</v>
      </c>
      <c r="D255" s="2">
        <v>544999980926514</v>
      </c>
      <c r="E255" t="s">
        <v>81</v>
      </c>
      <c r="F255" t="s">
        <v>58</v>
      </c>
      <c r="G255" s="2">
        <v>378999996185303</v>
      </c>
      <c r="H255">
        <v>0</v>
      </c>
      <c r="I255">
        <v>11</v>
      </c>
      <c r="J255">
        <v>16</v>
      </c>
      <c r="K255">
        <v>206</v>
      </c>
      <c r="L255">
        <v>678</v>
      </c>
      <c r="M255">
        <v>1944</v>
      </c>
      <c r="N255" t="str">
        <f t="shared" si="6"/>
        <v>Baja Actividad</v>
      </c>
      <c r="O255" t="str">
        <f t="shared" si="7"/>
        <v>Bajo Sedentarismo</v>
      </c>
    </row>
    <row r="256" spans="1:15" x14ac:dyDescent="0.3">
      <c r="A256">
        <v>2347167796</v>
      </c>
      <c r="B256" t="s">
        <v>27</v>
      </c>
      <c r="C256">
        <v>6711</v>
      </c>
      <c r="D256" s="2">
        <v>444000005722046</v>
      </c>
      <c r="E256">
        <v>0</v>
      </c>
      <c r="F256">
        <v>0</v>
      </c>
      <c r="G256" s="2">
        <v>444000005722046</v>
      </c>
      <c r="H256">
        <v>0</v>
      </c>
      <c r="I256">
        <v>0</v>
      </c>
      <c r="J256">
        <v>7</v>
      </c>
      <c r="K256">
        <v>382</v>
      </c>
      <c r="L256">
        <v>648</v>
      </c>
      <c r="M256">
        <v>2346</v>
      </c>
      <c r="N256" t="str">
        <f t="shared" si="6"/>
        <v>Baja Actividad</v>
      </c>
      <c r="O256" t="str">
        <f t="shared" si="7"/>
        <v>Bajo Sedentarismo</v>
      </c>
    </row>
    <row r="257" spans="1:15" x14ac:dyDescent="0.3">
      <c r="A257">
        <v>2347167796</v>
      </c>
      <c r="B257" t="s">
        <v>28</v>
      </c>
      <c r="C257">
        <v>10999</v>
      </c>
      <c r="D257" s="2">
        <v>726999998092651</v>
      </c>
      <c r="E257" t="s">
        <v>91</v>
      </c>
      <c r="F257" s="2">
        <v>180999994277954</v>
      </c>
      <c r="G257" s="2">
        <v>478000020980835</v>
      </c>
      <c r="H257">
        <v>0</v>
      </c>
      <c r="I257">
        <v>11</v>
      </c>
      <c r="J257">
        <v>43</v>
      </c>
      <c r="K257">
        <v>269</v>
      </c>
      <c r="L257">
        <v>1011</v>
      </c>
      <c r="M257">
        <v>2198</v>
      </c>
      <c r="N257" t="str">
        <f t="shared" si="6"/>
        <v>Alta Actividad</v>
      </c>
      <c r="O257" t="str">
        <f t="shared" si="7"/>
        <v>Alto Sedentarismo</v>
      </c>
    </row>
    <row r="258" spans="1:15" x14ac:dyDescent="0.3">
      <c r="A258">
        <v>2347167796</v>
      </c>
      <c r="B258" t="s">
        <v>30</v>
      </c>
      <c r="C258">
        <v>10080</v>
      </c>
      <c r="D258" t="s">
        <v>120</v>
      </c>
      <c r="E258" s="2">
        <v>185000002384186</v>
      </c>
      <c r="F258" s="2">
        <v>152999997138977</v>
      </c>
      <c r="G258" s="2">
        <v>338000011444092</v>
      </c>
      <c r="H258">
        <v>0</v>
      </c>
      <c r="I258">
        <v>23</v>
      </c>
      <c r="J258">
        <v>26</v>
      </c>
      <c r="K258">
        <v>208</v>
      </c>
      <c r="L258">
        <v>761</v>
      </c>
      <c r="M258">
        <v>2048</v>
      </c>
      <c r="N258" t="str">
        <f t="shared" si="6"/>
        <v>Alta Actividad</v>
      </c>
      <c r="O258" t="str">
        <f t="shared" si="7"/>
        <v>Alto Sedentarismo</v>
      </c>
    </row>
    <row r="259" spans="1:15" x14ac:dyDescent="0.3">
      <c r="A259">
        <v>2347167796</v>
      </c>
      <c r="B259" t="s">
        <v>32</v>
      </c>
      <c r="C259">
        <v>7804</v>
      </c>
      <c r="D259" s="2">
        <v>515999984741211</v>
      </c>
      <c r="E259" t="s">
        <v>121</v>
      </c>
      <c r="F259" s="2">
        <v>167999994754791</v>
      </c>
      <c r="G259" s="2">
        <v>292000007629395</v>
      </c>
      <c r="H259">
        <v>0</v>
      </c>
      <c r="I259">
        <v>9</v>
      </c>
      <c r="J259">
        <v>27</v>
      </c>
      <c r="K259">
        <v>206</v>
      </c>
      <c r="L259">
        <v>781</v>
      </c>
      <c r="M259">
        <v>1946</v>
      </c>
      <c r="N259" t="str">
        <f t="shared" ref="N259:N322" si="8">IF(C259&gt;=10000, "Alta Actividad", "Baja Actividad")</f>
        <v>Baja Actividad</v>
      </c>
      <c r="O259" t="str">
        <f t="shared" ref="O259:O322" si="9">IF(L259&gt;=700, "Alto Sedentarismo",  "Bajo Sedentarismo")</f>
        <v>Alto Sedentarismo</v>
      </c>
    </row>
    <row r="260" spans="1:15" x14ac:dyDescent="0.3">
      <c r="A260">
        <v>2347167796</v>
      </c>
      <c r="B260" t="s">
        <v>33</v>
      </c>
      <c r="C260">
        <v>16901</v>
      </c>
      <c r="D260" s="2">
        <v>113699998855591</v>
      </c>
      <c r="E260" s="2">
        <v>277999997138977</v>
      </c>
      <c r="F260" s="2">
        <v>145000004768372</v>
      </c>
      <c r="G260" s="2">
        <v>715000009536743</v>
      </c>
      <c r="H260">
        <v>0</v>
      </c>
      <c r="I260">
        <v>32</v>
      </c>
      <c r="J260">
        <v>35</v>
      </c>
      <c r="K260">
        <v>360</v>
      </c>
      <c r="L260">
        <v>591</v>
      </c>
      <c r="M260">
        <v>2629</v>
      </c>
      <c r="N260" t="str">
        <f t="shared" si="8"/>
        <v>Alta Actividad</v>
      </c>
      <c r="O260" t="str">
        <f t="shared" si="9"/>
        <v>Bajo Sedentarismo</v>
      </c>
    </row>
    <row r="261" spans="1:15" x14ac:dyDescent="0.3">
      <c r="A261">
        <v>2347167796</v>
      </c>
      <c r="B261" t="s">
        <v>35</v>
      </c>
      <c r="C261">
        <v>9471</v>
      </c>
      <c r="D261" s="2">
        <v>626000022888184</v>
      </c>
      <c r="E261">
        <v>0</v>
      </c>
      <c r="F261">
        <v>0</v>
      </c>
      <c r="G261" s="2">
        <v>626000022888184</v>
      </c>
      <c r="H261">
        <v>0</v>
      </c>
      <c r="I261">
        <v>0</v>
      </c>
      <c r="J261">
        <v>0</v>
      </c>
      <c r="K261">
        <v>360</v>
      </c>
      <c r="L261">
        <v>584</v>
      </c>
      <c r="M261">
        <v>2187</v>
      </c>
      <c r="N261" t="str">
        <f t="shared" si="8"/>
        <v>Baja Actividad</v>
      </c>
      <c r="O261" t="str">
        <f t="shared" si="9"/>
        <v>Bajo Sedentarismo</v>
      </c>
    </row>
    <row r="262" spans="1:15" x14ac:dyDescent="0.3">
      <c r="A262">
        <v>2347167796</v>
      </c>
      <c r="B262" t="s">
        <v>37</v>
      </c>
      <c r="C262">
        <v>9482</v>
      </c>
      <c r="D262" s="2">
        <v>638000011444092</v>
      </c>
      <c r="E262" s="2">
        <v>126999998092651</v>
      </c>
      <c r="F262" t="s">
        <v>77</v>
      </c>
      <c r="G262" s="2">
        <v>459999990463257</v>
      </c>
      <c r="H262">
        <v>0</v>
      </c>
      <c r="I262">
        <v>15</v>
      </c>
      <c r="J262">
        <v>11</v>
      </c>
      <c r="K262">
        <v>277</v>
      </c>
      <c r="L262">
        <v>653</v>
      </c>
      <c r="M262">
        <v>2095</v>
      </c>
      <c r="N262" t="str">
        <f t="shared" si="8"/>
        <v>Baja Actividad</v>
      </c>
      <c r="O262" t="str">
        <f t="shared" si="9"/>
        <v>Bajo Sedentarismo</v>
      </c>
    </row>
    <row r="263" spans="1:15" x14ac:dyDescent="0.3">
      <c r="A263">
        <v>2347167796</v>
      </c>
      <c r="B263" t="s">
        <v>39</v>
      </c>
      <c r="C263">
        <v>5980</v>
      </c>
      <c r="D263" s="2">
        <v>395000004768372</v>
      </c>
      <c r="E263">
        <v>0</v>
      </c>
      <c r="F263">
        <v>0</v>
      </c>
      <c r="G263" s="2">
        <v>395000004768372</v>
      </c>
      <c r="H263">
        <v>0</v>
      </c>
      <c r="I263">
        <v>0</v>
      </c>
      <c r="J263">
        <v>0</v>
      </c>
      <c r="K263">
        <v>227</v>
      </c>
      <c r="L263">
        <v>732</v>
      </c>
      <c r="M263">
        <v>1861</v>
      </c>
      <c r="N263" t="str">
        <f t="shared" si="8"/>
        <v>Baja Actividad</v>
      </c>
      <c r="O263" t="str">
        <f t="shared" si="9"/>
        <v>Alto Sedentarismo</v>
      </c>
    </row>
    <row r="264" spans="1:15" x14ac:dyDescent="0.3">
      <c r="A264">
        <v>2347167796</v>
      </c>
      <c r="B264" t="s">
        <v>41</v>
      </c>
      <c r="C264">
        <v>11423</v>
      </c>
      <c r="D264" s="2">
        <v>757999992370605</v>
      </c>
      <c r="E264" s="2">
        <v>186000001430511</v>
      </c>
      <c r="F264" t="s">
        <v>18</v>
      </c>
      <c r="G264" s="2">
        <v>532000017166138</v>
      </c>
      <c r="H264">
        <v>0</v>
      </c>
      <c r="I264">
        <v>26</v>
      </c>
      <c r="J264">
        <v>9</v>
      </c>
      <c r="K264">
        <v>295</v>
      </c>
      <c r="L264">
        <v>623</v>
      </c>
      <c r="M264">
        <v>2194</v>
      </c>
      <c r="N264" t="str">
        <f t="shared" si="8"/>
        <v>Alta Actividad</v>
      </c>
      <c r="O264" t="str">
        <f t="shared" si="9"/>
        <v>Bajo Sedentarismo</v>
      </c>
    </row>
    <row r="265" spans="1:15" x14ac:dyDescent="0.3">
      <c r="A265">
        <v>2347167796</v>
      </c>
      <c r="B265" t="s">
        <v>42</v>
      </c>
      <c r="C265">
        <v>5439</v>
      </c>
      <c r="D265" s="2">
        <v>359999990463257</v>
      </c>
      <c r="E265">
        <v>0</v>
      </c>
      <c r="F265">
        <v>0</v>
      </c>
      <c r="G265" s="2">
        <v>359999990463257</v>
      </c>
      <c r="H265">
        <v>0</v>
      </c>
      <c r="I265">
        <v>0</v>
      </c>
      <c r="J265">
        <v>0</v>
      </c>
      <c r="K265">
        <v>229</v>
      </c>
      <c r="L265">
        <v>764</v>
      </c>
      <c r="M265">
        <v>1854</v>
      </c>
      <c r="N265" t="str">
        <f t="shared" si="8"/>
        <v>Baja Actividad</v>
      </c>
      <c r="O265" t="str">
        <f t="shared" si="9"/>
        <v>Alto Sedentarismo</v>
      </c>
    </row>
    <row r="266" spans="1:15" x14ac:dyDescent="0.3">
      <c r="A266">
        <v>2347167796</v>
      </c>
      <c r="B266" t="s">
        <v>43</v>
      </c>
      <c r="C266">
        <v>42</v>
      </c>
      <c r="D266" t="s">
        <v>88</v>
      </c>
      <c r="E266">
        <v>0</v>
      </c>
      <c r="F266">
        <v>0</v>
      </c>
      <c r="G266" t="s">
        <v>88</v>
      </c>
      <c r="H266">
        <v>0</v>
      </c>
      <c r="I266">
        <v>0</v>
      </c>
      <c r="J266">
        <v>0</v>
      </c>
      <c r="K266">
        <v>4</v>
      </c>
      <c r="L266">
        <v>2</v>
      </c>
      <c r="M266">
        <v>403</v>
      </c>
      <c r="N266" t="str">
        <f t="shared" si="8"/>
        <v>Baja Actividad</v>
      </c>
      <c r="O266" t="str">
        <f t="shared" si="9"/>
        <v>Bajo Sedentarismo</v>
      </c>
    </row>
    <row r="267" spans="1:15" x14ac:dyDescent="0.3">
      <c r="A267">
        <v>2873212765</v>
      </c>
      <c r="B267" s="1">
        <v>42708</v>
      </c>
      <c r="C267">
        <v>8796</v>
      </c>
      <c r="D267" s="2">
        <v>590999984741211</v>
      </c>
      <c r="E267" t="s">
        <v>94</v>
      </c>
      <c r="F267" t="s">
        <v>109</v>
      </c>
      <c r="G267" s="2">
        <v>488000011444092</v>
      </c>
      <c r="H267">
        <v>0</v>
      </c>
      <c r="I267">
        <v>2</v>
      </c>
      <c r="J267">
        <v>21</v>
      </c>
      <c r="K267">
        <v>356</v>
      </c>
      <c r="L267">
        <v>1061</v>
      </c>
      <c r="M267">
        <v>1982</v>
      </c>
      <c r="N267" t="str">
        <f t="shared" si="8"/>
        <v>Baja Actividad</v>
      </c>
      <c r="O267" t="str">
        <f t="shared" si="9"/>
        <v>Alto Sedentarismo</v>
      </c>
    </row>
    <row r="268" spans="1:15" x14ac:dyDescent="0.3">
      <c r="A268">
        <v>2873212765</v>
      </c>
      <c r="B268" t="s">
        <v>15</v>
      </c>
      <c r="C268">
        <v>7618</v>
      </c>
      <c r="D268" s="2">
        <v>511999988555908</v>
      </c>
      <c r="E268">
        <v>0</v>
      </c>
      <c r="F268" t="s">
        <v>62</v>
      </c>
      <c r="G268" s="2">
        <v>488000011444092</v>
      </c>
      <c r="H268" t="s">
        <v>54</v>
      </c>
      <c r="I268">
        <v>0</v>
      </c>
      <c r="J268">
        <v>8</v>
      </c>
      <c r="K268">
        <v>404</v>
      </c>
      <c r="L268">
        <v>1028</v>
      </c>
      <c r="M268">
        <v>2004</v>
      </c>
      <c r="N268" t="str">
        <f t="shared" si="8"/>
        <v>Baja Actividad</v>
      </c>
      <c r="O268" t="str">
        <f t="shared" si="9"/>
        <v>Alto Sedentarismo</v>
      </c>
    </row>
    <row r="269" spans="1:15" x14ac:dyDescent="0.3">
      <c r="A269">
        <v>2873212765</v>
      </c>
      <c r="B269" t="s">
        <v>17</v>
      </c>
      <c r="C269">
        <v>7910</v>
      </c>
      <c r="D269" s="2">
        <v>532000017166138</v>
      </c>
      <c r="E269">
        <v>0</v>
      </c>
      <c r="F269">
        <v>0</v>
      </c>
      <c r="G269" s="2">
        <v>532000017166138</v>
      </c>
      <c r="H269">
        <v>0</v>
      </c>
      <c r="I269">
        <v>0</v>
      </c>
      <c r="J269">
        <v>0</v>
      </c>
      <c r="K269">
        <v>331</v>
      </c>
      <c r="L269">
        <v>1109</v>
      </c>
      <c r="M269">
        <v>1893</v>
      </c>
      <c r="N269" t="str">
        <f t="shared" si="8"/>
        <v>Baja Actividad</v>
      </c>
      <c r="O269" t="str">
        <f t="shared" si="9"/>
        <v>Alto Sedentarismo</v>
      </c>
    </row>
    <row r="270" spans="1:15" x14ac:dyDescent="0.3">
      <c r="A270">
        <v>2873212765</v>
      </c>
      <c r="B270" t="s">
        <v>19</v>
      </c>
      <c r="C270">
        <v>8482</v>
      </c>
      <c r="D270" s="2">
        <v>569999980926514</v>
      </c>
      <c r="E270">
        <v>0</v>
      </c>
      <c r="F270">
        <v>0</v>
      </c>
      <c r="G270" s="2">
        <v>569000005722046</v>
      </c>
      <c r="H270" t="s">
        <v>50</v>
      </c>
      <c r="I270">
        <v>0</v>
      </c>
      <c r="J270">
        <v>0</v>
      </c>
      <c r="K270">
        <v>448</v>
      </c>
      <c r="L270">
        <v>992</v>
      </c>
      <c r="M270">
        <v>2063</v>
      </c>
      <c r="N270" t="str">
        <f t="shared" si="8"/>
        <v>Baja Actividad</v>
      </c>
      <c r="O270" t="str">
        <f t="shared" si="9"/>
        <v>Alto Sedentarismo</v>
      </c>
    </row>
    <row r="271" spans="1:15" x14ac:dyDescent="0.3">
      <c r="A271">
        <v>2873212765</v>
      </c>
      <c r="B271" t="s">
        <v>20</v>
      </c>
      <c r="C271">
        <v>9685</v>
      </c>
      <c r="D271" s="2">
        <v>665000009536743</v>
      </c>
      <c r="E271" s="2">
        <v>310999989509583</v>
      </c>
      <c r="F271" t="s">
        <v>54</v>
      </c>
      <c r="G271" s="2">
        <v>350999999046326</v>
      </c>
      <c r="H271" t="s">
        <v>50</v>
      </c>
      <c r="I271">
        <v>47</v>
      </c>
      <c r="J271">
        <v>1</v>
      </c>
      <c r="K271">
        <v>305</v>
      </c>
      <c r="L271">
        <v>1087</v>
      </c>
      <c r="M271">
        <v>2148</v>
      </c>
      <c r="N271" t="str">
        <f t="shared" si="8"/>
        <v>Baja Actividad</v>
      </c>
      <c r="O271" t="str">
        <f t="shared" si="9"/>
        <v>Alto Sedentarismo</v>
      </c>
    </row>
    <row r="272" spans="1:15" x14ac:dyDescent="0.3">
      <c r="A272">
        <v>2873212765</v>
      </c>
      <c r="B272" t="s">
        <v>22</v>
      </c>
      <c r="C272">
        <v>2524</v>
      </c>
      <c r="D272" s="2">
        <v>170000004768372</v>
      </c>
      <c r="E272">
        <v>0</v>
      </c>
      <c r="F272" t="s">
        <v>31</v>
      </c>
      <c r="G272" s="2">
        <v>13400000333786</v>
      </c>
      <c r="H272">
        <v>0</v>
      </c>
      <c r="I272">
        <v>0</v>
      </c>
      <c r="J272">
        <v>8</v>
      </c>
      <c r="K272">
        <v>160</v>
      </c>
      <c r="L272">
        <v>1272</v>
      </c>
      <c r="M272">
        <v>1529</v>
      </c>
      <c r="N272" t="str">
        <f t="shared" si="8"/>
        <v>Baja Actividad</v>
      </c>
      <c r="O272" t="str">
        <f t="shared" si="9"/>
        <v>Alto Sedentarismo</v>
      </c>
    </row>
    <row r="273" spans="1:15" x14ac:dyDescent="0.3">
      <c r="A273">
        <v>2873212765</v>
      </c>
      <c r="B273" t="s">
        <v>24</v>
      </c>
      <c r="C273">
        <v>7762</v>
      </c>
      <c r="D273" s="2">
        <v>523999977111816</v>
      </c>
      <c r="E273" t="s">
        <v>74</v>
      </c>
      <c r="F273" t="s">
        <v>119</v>
      </c>
      <c r="G273" s="2">
        <v>48899998664856</v>
      </c>
      <c r="H273">
        <v>0</v>
      </c>
      <c r="I273">
        <v>1</v>
      </c>
      <c r="J273">
        <v>6</v>
      </c>
      <c r="K273">
        <v>311</v>
      </c>
      <c r="L273">
        <v>1122</v>
      </c>
      <c r="M273">
        <v>1890</v>
      </c>
      <c r="N273" t="str">
        <f t="shared" si="8"/>
        <v>Baja Actividad</v>
      </c>
      <c r="O273" t="str">
        <f t="shared" si="9"/>
        <v>Alto Sedentarismo</v>
      </c>
    </row>
    <row r="274" spans="1:15" x14ac:dyDescent="0.3">
      <c r="A274">
        <v>2873212765</v>
      </c>
      <c r="B274" t="s">
        <v>27</v>
      </c>
      <c r="C274">
        <v>7948</v>
      </c>
      <c r="D274" s="2">
        <v>536999988555908</v>
      </c>
      <c r="E274">
        <v>0</v>
      </c>
      <c r="F274">
        <v>0</v>
      </c>
      <c r="G274" s="2">
        <v>53600001335144</v>
      </c>
      <c r="H274">
        <v>0</v>
      </c>
      <c r="I274">
        <v>0</v>
      </c>
      <c r="J274">
        <v>0</v>
      </c>
      <c r="K274">
        <v>389</v>
      </c>
      <c r="L274">
        <v>1051</v>
      </c>
      <c r="M274">
        <v>1956</v>
      </c>
      <c r="N274" t="str">
        <f t="shared" si="8"/>
        <v>Baja Actividad</v>
      </c>
      <c r="O274" t="str">
        <f t="shared" si="9"/>
        <v>Alto Sedentarismo</v>
      </c>
    </row>
    <row r="275" spans="1:15" x14ac:dyDescent="0.3">
      <c r="A275">
        <v>2873212765</v>
      </c>
      <c r="B275" t="s">
        <v>28</v>
      </c>
      <c r="C275">
        <v>9202</v>
      </c>
      <c r="D275" s="2">
        <v>630000019073486</v>
      </c>
      <c r="E275" s="2">
        <v>150999999046326</v>
      </c>
      <c r="F275" t="s">
        <v>87</v>
      </c>
      <c r="G275" s="2">
        <v>465999984741211</v>
      </c>
      <c r="H275" t="s">
        <v>50</v>
      </c>
      <c r="I275">
        <v>22</v>
      </c>
      <c r="J275">
        <v>5</v>
      </c>
      <c r="K275">
        <v>378</v>
      </c>
      <c r="L275">
        <v>1035</v>
      </c>
      <c r="M275">
        <v>2094</v>
      </c>
      <c r="N275" t="str">
        <f t="shared" si="8"/>
        <v>Baja Actividad</v>
      </c>
      <c r="O275" t="str">
        <f t="shared" si="9"/>
        <v>Alto Sedentarismo</v>
      </c>
    </row>
    <row r="276" spans="1:15" x14ac:dyDescent="0.3">
      <c r="A276">
        <v>2873212765</v>
      </c>
      <c r="B276" t="s">
        <v>30</v>
      </c>
      <c r="C276">
        <v>8859</v>
      </c>
      <c r="D276" s="2">
        <v>598000001907349</v>
      </c>
      <c r="E276" t="s">
        <v>86</v>
      </c>
      <c r="F276" t="s">
        <v>117</v>
      </c>
      <c r="G276" s="2">
        <v>546999979019165</v>
      </c>
      <c r="H276" t="s">
        <v>50</v>
      </c>
      <c r="I276">
        <v>2</v>
      </c>
      <c r="J276">
        <v>10</v>
      </c>
      <c r="K276">
        <v>371</v>
      </c>
      <c r="L276">
        <v>1057</v>
      </c>
      <c r="M276">
        <v>1970</v>
      </c>
      <c r="N276" t="str">
        <f t="shared" si="8"/>
        <v>Baja Actividad</v>
      </c>
      <c r="O276" t="str">
        <f t="shared" si="9"/>
        <v>Alto Sedentarismo</v>
      </c>
    </row>
    <row r="277" spans="1:15" x14ac:dyDescent="0.3">
      <c r="A277">
        <v>2873212765</v>
      </c>
      <c r="B277" t="s">
        <v>32</v>
      </c>
      <c r="C277">
        <v>7286</v>
      </c>
      <c r="D277" s="2">
        <v>490000009536743</v>
      </c>
      <c r="E277" t="s">
        <v>108</v>
      </c>
      <c r="F277">
        <v>0</v>
      </c>
      <c r="G277" s="2">
        <v>442000007629395</v>
      </c>
      <c r="H277" t="s">
        <v>54</v>
      </c>
      <c r="I277">
        <v>46</v>
      </c>
      <c r="J277">
        <v>0</v>
      </c>
      <c r="K277">
        <v>366</v>
      </c>
      <c r="L277">
        <v>1028</v>
      </c>
      <c r="M277">
        <v>2241</v>
      </c>
      <c r="N277" t="str">
        <f t="shared" si="8"/>
        <v>Baja Actividad</v>
      </c>
      <c r="O277" t="str">
        <f t="shared" si="9"/>
        <v>Alto Sedentarismo</v>
      </c>
    </row>
    <row r="278" spans="1:15" x14ac:dyDescent="0.3">
      <c r="A278">
        <v>2873212765</v>
      </c>
      <c r="B278" t="s">
        <v>33</v>
      </c>
      <c r="C278">
        <v>9317</v>
      </c>
      <c r="D278" s="2">
        <v>634999990463257</v>
      </c>
      <c r="E278" s="2">
        <v>208999991416931</v>
      </c>
      <c r="F278" t="s">
        <v>116</v>
      </c>
      <c r="G278" s="2">
        <v>401999998092651</v>
      </c>
      <c r="H278" t="s">
        <v>50</v>
      </c>
      <c r="I278">
        <v>28</v>
      </c>
      <c r="J278">
        <v>5</v>
      </c>
      <c r="K278">
        <v>330</v>
      </c>
      <c r="L278">
        <v>1077</v>
      </c>
      <c r="M278">
        <v>2021</v>
      </c>
      <c r="N278" t="str">
        <f t="shared" si="8"/>
        <v>Baja Actividad</v>
      </c>
      <c r="O278" t="str">
        <f t="shared" si="9"/>
        <v>Alto Sedentarismo</v>
      </c>
    </row>
    <row r="279" spans="1:15" x14ac:dyDescent="0.3">
      <c r="A279">
        <v>2873212765</v>
      </c>
      <c r="B279" t="s">
        <v>35</v>
      </c>
      <c r="C279">
        <v>6873</v>
      </c>
      <c r="D279" s="2">
        <v>467999982833862</v>
      </c>
      <c r="E279">
        <v>3</v>
      </c>
      <c r="F279" t="s">
        <v>69</v>
      </c>
      <c r="G279" s="2">
        <v>162000000476837</v>
      </c>
      <c r="H279">
        <v>0</v>
      </c>
      <c r="I279">
        <v>46</v>
      </c>
      <c r="J279">
        <v>1</v>
      </c>
      <c r="K279">
        <v>190</v>
      </c>
      <c r="L279">
        <v>1203</v>
      </c>
      <c r="M279">
        <v>1898</v>
      </c>
      <c r="N279" t="str">
        <f t="shared" si="8"/>
        <v>Baja Actividad</v>
      </c>
      <c r="O279" t="str">
        <f t="shared" si="9"/>
        <v>Alto Sedentarismo</v>
      </c>
    </row>
    <row r="280" spans="1:15" x14ac:dyDescent="0.3">
      <c r="A280">
        <v>2873212765</v>
      </c>
      <c r="B280" t="s">
        <v>37</v>
      </c>
      <c r="C280">
        <v>7373</v>
      </c>
      <c r="D280" s="2">
        <v>494999980926514</v>
      </c>
      <c r="E280">
        <v>0</v>
      </c>
      <c r="F280">
        <v>0</v>
      </c>
      <c r="G280" s="2">
        <v>494999980926514</v>
      </c>
      <c r="H280">
        <v>0</v>
      </c>
      <c r="I280">
        <v>0</v>
      </c>
      <c r="J280">
        <v>0</v>
      </c>
      <c r="K280">
        <v>359</v>
      </c>
      <c r="L280">
        <v>1081</v>
      </c>
      <c r="M280">
        <v>1907</v>
      </c>
      <c r="N280" t="str">
        <f t="shared" si="8"/>
        <v>Baja Actividad</v>
      </c>
      <c r="O280" t="str">
        <f t="shared" si="9"/>
        <v>Alto Sedentarismo</v>
      </c>
    </row>
    <row r="281" spans="1:15" x14ac:dyDescent="0.3">
      <c r="A281">
        <v>2873212765</v>
      </c>
      <c r="B281" t="s">
        <v>39</v>
      </c>
      <c r="C281">
        <v>8242</v>
      </c>
      <c r="D281" s="2">
        <v>553999996185303</v>
      </c>
      <c r="E281" t="s">
        <v>87</v>
      </c>
      <c r="F281" t="s">
        <v>98</v>
      </c>
      <c r="G281" s="2">
        <v>523999977111816</v>
      </c>
      <c r="H281">
        <v>0</v>
      </c>
      <c r="I281">
        <v>2</v>
      </c>
      <c r="J281">
        <v>5</v>
      </c>
      <c r="K281">
        <v>309</v>
      </c>
      <c r="L281">
        <v>1124</v>
      </c>
      <c r="M281">
        <v>1882</v>
      </c>
      <c r="N281" t="str">
        <f t="shared" si="8"/>
        <v>Baja Actividad</v>
      </c>
      <c r="O281" t="str">
        <f t="shared" si="9"/>
        <v>Alto Sedentarismo</v>
      </c>
    </row>
    <row r="282" spans="1:15" x14ac:dyDescent="0.3">
      <c r="A282">
        <v>2873212765</v>
      </c>
      <c r="B282" t="s">
        <v>41</v>
      </c>
      <c r="C282">
        <v>3516</v>
      </c>
      <c r="D282" s="2">
        <v>235999989509583</v>
      </c>
      <c r="E282">
        <v>0</v>
      </c>
      <c r="F282">
        <v>0</v>
      </c>
      <c r="G282" s="2">
        <v>235999989509583</v>
      </c>
      <c r="H282">
        <v>0</v>
      </c>
      <c r="I282">
        <v>46</v>
      </c>
      <c r="J282">
        <v>0</v>
      </c>
      <c r="K282">
        <v>197</v>
      </c>
      <c r="L282">
        <v>1197</v>
      </c>
      <c r="M282">
        <v>1966</v>
      </c>
      <c r="N282" t="str">
        <f t="shared" si="8"/>
        <v>Baja Actividad</v>
      </c>
      <c r="O282" t="str">
        <f t="shared" si="9"/>
        <v>Alto Sedentarismo</v>
      </c>
    </row>
    <row r="283" spans="1:15" x14ac:dyDescent="0.3">
      <c r="A283">
        <v>2873212765</v>
      </c>
      <c r="B283" t="s">
        <v>42</v>
      </c>
      <c r="C283">
        <v>7913</v>
      </c>
      <c r="D283" s="2">
        <v>540999984741211</v>
      </c>
      <c r="E283" s="2">
        <v>216000008583069</v>
      </c>
      <c r="F283" t="s">
        <v>107</v>
      </c>
      <c r="G283" s="2">
        <v>291000008583069</v>
      </c>
      <c r="H283">
        <v>0</v>
      </c>
      <c r="I283">
        <v>28</v>
      </c>
      <c r="J283">
        <v>7</v>
      </c>
      <c r="K283">
        <v>213</v>
      </c>
      <c r="L283">
        <v>1192</v>
      </c>
      <c r="M283">
        <v>1835</v>
      </c>
      <c r="N283" t="str">
        <f t="shared" si="8"/>
        <v>Baja Actividad</v>
      </c>
      <c r="O283" t="str">
        <f t="shared" si="9"/>
        <v>Alto Sedentarismo</v>
      </c>
    </row>
    <row r="284" spans="1:15" x14ac:dyDescent="0.3">
      <c r="A284">
        <v>2873212765</v>
      </c>
      <c r="B284" t="s">
        <v>43</v>
      </c>
      <c r="C284">
        <v>7365</v>
      </c>
      <c r="D284" s="2">
        <v>494999980926514</v>
      </c>
      <c r="E284" s="2">
        <v>136000001430511</v>
      </c>
      <c r="F284" s="2">
        <v>14099999666214</v>
      </c>
      <c r="G284" s="2">
        <v>21800000667572</v>
      </c>
      <c r="H284">
        <v>0</v>
      </c>
      <c r="I284">
        <v>20</v>
      </c>
      <c r="J284">
        <v>23</v>
      </c>
      <c r="K284">
        <v>206</v>
      </c>
      <c r="L284">
        <v>1191</v>
      </c>
      <c r="M284">
        <v>1780</v>
      </c>
      <c r="N284" t="str">
        <f t="shared" si="8"/>
        <v>Baja Actividad</v>
      </c>
      <c r="O284" t="str">
        <f t="shared" si="9"/>
        <v>Alto Sedentarismo</v>
      </c>
    </row>
    <row r="285" spans="1:15" x14ac:dyDescent="0.3">
      <c r="A285">
        <v>2873212765</v>
      </c>
      <c r="B285" t="s">
        <v>45</v>
      </c>
      <c r="C285">
        <v>8452</v>
      </c>
      <c r="D285" s="2">
        <v>567999982833862</v>
      </c>
      <c r="E285" t="s">
        <v>122</v>
      </c>
      <c r="F285" s="2">
        <v>108000004291534</v>
      </c>
      <c r="G285" s="2">
        <v>426000022888184</v>
      </c>
      <c r="H285" t="s">
        <v>50</v>
      </c>
      <c r="I285">
        <v>5</v>
      </c>
      <c r="J285">
        <v>20</v>
      </c>
      <c r="K285">
        <v>248</v>
      </c>
      <c r="L285">
        <v>1167</v>
      </c>
      <c r="M285">
        <v>1830</v>
      </c>
      <c r="N285" t="str">
        <f t="shared" si="8"/>
        <v>Baja Actividad</v>
      </c>
      <c r="O285" t="str">
        <f t="shared" si="9"/>
        <v>Alto Sedentarismo</v>
      </c>
    </row>
    <row r="286" spans="1:15" x14ac:dyDescent="0.3">
      <c r="A286">
        <v>2873212765</v>
      </c>
      <c r="B286" s="1">
        <v>42374</v>
      </c>
      <c r="C286">
        <v>7399</v>
      </c>
      <c r="D286" s="2">
        <v>496999979019165</v>
      </c>
      <c r="E286" t="s">
        <v>115</v>
      </c>
      <c r="F286" s="2">
        <v>103999996185303</v>
      </c>
      <c r="G286" s="2">
        <v>344000005722046</v>
      </c>
      <c r="H286">
        <v>0</v>
      </c>
      <c r="I286">
        <v>7</v>
      </c>
      <c r="J286">
        <v>18</v>
      </c>
      <c r="K286">
        <v>196</v>
      </c>
      <c r="L286">
        <v>1219</v>
      </c>
      <c r="M286">
        <v>1739</v>
      </c>
      <c r="N286" t="str">
        <f t="shared" si="8"/>
        <v>Baja Actividad</v>
      </c>
      <c r="O286" t="str">
        <f t="shared" si="9"/>
        <v>Alto Sedentarismo</v>
      </c>
    </row>
    <row r="287" spans="1:15" x14ac:dyDescent="0.3">
      <c r="A287">
        <v>2873212765</v>
      </c>
      <c r="B287" s="1">
        <v>42405</v>
      </c>
      <c r="C287">
        <v>7525</v>
      </c>
      <c r="D287" s="2">
        <v>505999994277954</v>
      </c>
      <c r="E287">
        <v>0</v>
      </c>
      <c r="F287" t="s">
        <v>36</v>
      </c>
      <c r="G287" s="2">
        <v>482999992370605</v>
      </c>
      <c r="H287" t="s">
        <v>54</v>
      </c>
      <c r="I287">
        <v>0</v>
      </c>
      <c r="J287">
        <v>7</v>
      </c>
      <c r="K287">
        <v>334</v>
      </c>
      <c r="L287">
        <v>1099</v>
      </c>
      <c r="M287">
        <v>1878</v>
      </c>
      <c r="N287" t="str">
        <f t="shared" si="8"/>
        <v>Baja Actividad</v>
      </c>
      <c r="O287" t="str">
        <f t="shared" si="9"/>
        <v>Alto Sedentarismo</v>
      </c>
    </row>
    <row r="288" spans="1:15" x14ac:dyDescent="0.3">
      <c r="A288">
        <v>2873212765</v>
      </c>
      <c r="B288" s="1">
        <v>42434</v>
      </c>
      <c r="C288">
        <v>7412</v>
      </c>
      <c r="D288" s="2">
        <v>498000001907349</v>
      </c>
      <c r="E288" t="s">
        <v>69</v>
      </c>
      <c r="F288" t="s">
        <v>47</v>
      </c>
      <c r="G288" s="2">
        <v>465999984741211</v>
      </c>
      <c r="H288" t="s">
        <v>50</v>
      </c>
      <c r="I288">
        <v>1</v>
      </c>
      <c r="J288">
        <v>6</v>
      </c>
      <c r="K288">
        <v>363</v>
      </c>
      <c r="L288">
        <v>1070</v>
      </c>
      <c r="M288">
        <v>1906</v>
      </c>
      <c r="N288" t="str">
        <f t="shared" si="8"/>
        <v>Baja Actividad</v>
      </c>
      <c r="O288" t="str">
        <f t="shared" si="9"/>
        <v>Alto Sedentarismo</v>
      </c>
    </row>
    <row r="289" spans="1:15" x14ac:dyDescent="0.3">
      <c r="A289">
        <v>2873212765</v>
      </c>
      <c r="B289" s="1">
        <v>42465</v>
      </c>
      <c r="C289">
        <v>8278</v>
      </c>
      <c r="D289" s="2">
        <v>555999994277954</v>
      </c>
      <c r="E289">
        <v>0</v>
      </c>
      <c r="F289">
        <v>0</v>
      </c>
      <c r="G289" s="2">
        <v>555999994277954</v>
      </c>
      <c r="H289">
        <v>0</v>
      </c>
      <c r="I289">
        <v>0</v>
      </c>
      <c r="J289">
        <v>0</v>
      </c>
      <c r="K289">
        <v>420</v>
      </c>
      <c r="L289">
        <v>1020</v>
      </c>
      <c r="M289">
        <v>2015</v>
      </c>
      <c r="N289" t="str">
        <f t="shared" si="8"/>
        <v>Baja Actividad</v>
      </c>
      <c r="O289" t="str">
        <f t="shared" si="9"/>
        <v>Alto Sedentarismo</v>
      </c>
    </row>
    <row r="290" spans="1:15" x14ac:dyDescent="0.3">
      <c r="A290">
        <v>2873212765</v>
      </c>
      <c r="B290" s="1">
        <v>42495</v>
      </c>
      <c r="C290">
        <v>8314</v>
      </c>
      <c r="D290" s="2">
        <v>56100001335144</v>
      </c>
      <c r="E290" t="s">
        <v>23</v>
      </c>
      <c r="F290" t="s">
        <v>70</v>
      </c>
      <c r="G290" s="2">
        <v>403000020980835</v>
      </c>
      <c r="H290">
        <v>0</v>
      </c>
      <c r="I290">
        <v>13</v>
      </c>
      <c r="J290">
        <v>23</v>
      </c>
      <c r="K290">
        <v>311</v>
      </c>
      <c r="L290">
        <v>1093</v>
      </c>
      <c r="M290">
        <v>1971</v>
      </c>
      <c r="N290" t="str">
        <f t="shared" si="8"/>
        <v>Baja Actividad</v>
      </c>
      <c r="O290" t="str">
        <f t="shared" si="9"/>
        <v>Alto Sedentarismo</v>
      </c>
    </row>
    <row r="291" spans="1:15" x14ac:dyDescent="0.3">
      <c r="A291">
        <v>2873212765</v>
      </c>
      <c r="B291" s="1">
        <v>42526</v>
      </c>
      <c r="C291">
        <v>7063</v>
      </c>
      <c r="D291" t="s">
        <v>123</v>
      </c>
      <c r="E291">
        <v>0</v>
      </c>
      <c r="F291" t="s">
        <v>87</v>
      </c>
      <c r="G291" s="2">
        <v>46100001335144</v>
      </c>
      <c r="H291" t="s">
        <v>50</v>
      </c>
      <c r="I291">
        <v>0</v>
      </c>
      <c r="J291">
        <v>5</v>
      </c>
      <c r="K291">
        <v>370</v>
      </c>
      <c r="L291">
        <v>1065</v>
      </c>
      <c r="M291">
        <v>1910</v>
      </c>
      <c r="N291" t="str">
        <f t="shared" si="8"/>
        <v>Baja Actividad</v>
      </c>
      <c r="O291" t="str">
        <f t="shared" si="9"/>
        <v>Alto Sedentarismo</v>
      </c>
    </row>
    <row r="292" spans="1:15" x14ac:dyDescent="0.3">
      <c r="A292">
        <v>2873212765</v>
      </c>
      <c r="B292" s="1">
        <v>42556</v>
      </c>
      <c r="C292">
        <v>4940</v>
      </c>
      <c r="D292" s="2">
        <v>338000011444092</v>
      </c>
      <c r="E292" s="2">
        <v>227999997138977</v>
      </c>
      <c r="F292" t="s">
        <v>14</v>
      </c>
      <c r="G292" t="s">
        <v>14</v>
      </c>
      <c r="H292">
        <v>0</v>
      </c>
      <c r="I292">
        <v>75</v>
      </c>
      <c r="J292">
        <v>11</v>
      </c>
      <c r="K292">
        <v>52</v>
      </c>
      <c r="L292">
        <v>1302</v>
      </c>
      <c r="M292">
        <v>1897</v>
      </c>
      <c r="N292" t="str">
        <f t="shared" si="8"/>
        <v>Baja Actividad</v>
      </c>
      <c r="O292" t="str">
        <f t="shared" si="9"/>
        <v>Alto Sedentarismo</v>
      </c>
    </row>
    <row r="293" spans="1:15" x14ac:dyDescent="0.3">
      <c r="A293">
        <v>2873212765</v>
      </c>
      <c r="B293" s="1">
        <v>42587</v>
      </c>
      <c r="C293">
        <v>8168</v>
      </c>
      <c r="D293" s="2">
        <v>553999996185303</v>
      </c>
      <c r="E293" s="2">
        <v>290000009536743</v>
      </c>
      <c r="F293">
        <v>0</v>
      </c>
      <c r="G293" s="2">
        <v>264000010490417</v>
      </c>
      <c r="H293">
        <v>0</v>
      </c>
      <c r="I293">
        <v>46</v>
      </c>
      <c r="J293">
        <v>0</v>
      </c>
      <c r="K293">
        <v>326</v>
      </c>
      <c r="L293">
        <v>1068</v>
      </c>
      <c r="M293">
        <v>2096</v>
      </c>
      <c r="N293" t="str">
        <f t="shared" si="8"/>
        <v>Baja Actividad</v>
      </c>
      <c r="O293" t="str">
        <f t="shared" si="9"/>
        <v>Alto Sedentarismo</v>
      </c>
    </row>
    <row r="294" spans="1:15" x14ac:dyDescent="0.3">
      <c r="A294">
        <v>2873212765</v>
      </c>
      <c r="B294" s="1">
        <v>42618</v>
      </c>
      <c r="C294">
        <v>7726</v>
      </c>
      <c r="D294" s="2">
        <v>519000005722046</v>
      </c>
      <c r="E294">
        <v>0</v>
      </c>
      <c r="F294">
        <v>0</v>
      </c>
      <c r="G294" s="2">
        <v>519000005722046</v>
      </c>
      <c r="H294">
        <v>0</v>
      </c>
      <c r="I294">
        <v>0</v>
      </c>
      <c r="J294">
        <v>0</v>
      </c>
      <c r="K294">
        <v>345</v>
      </c>
      <c r="L294">
        <v>1095</v>
      </c>
      <c r="M294">
        <v>1906</v>
      </c>
      <c r="N294" t="str">
        <f t="shared" si="8"/>
        <v>Baja Actividad</v>
      </c>
      <c r="O294" t="str">
        <f t="shared" si="9"/>
        <v>Alto Sedentarismo</v>
      </c>
    </row>
    <row r="295" spans="1:15" x14ac:dyDescent="0.3">
      <c r="A295">
        <v>2873212765</v>
      </c>
      <c r="B295" s="1">
        <v>42648</v>
      </c>
      <c r="C295">
        <v>8275</v>
      </c>
      <c r="D295" s="2">
        <v>555999994277954</v>
      </c>
      <c r="E295">
        <v>0</v>
      </c>
      <c r="F295">
        <v>0</v>
      </c>
      <c r="G295" s="2">
        <v>555000019073486</v>
      </c>
      <c r="H295" t="s">
        <v>50</v>
      </c>
      <c r="I295">
        <v>0</v>
      </c>
      <c r="J295">
        <v>0</v>
      </c>
      <c r="K295">
        <v>373</v>
      </c>
      <c r="L295">
        <v>1067</v>
      </c>
      <c r="M295">
        <v>1962</v>
      </c>
      <c r="N295" t="str">
        <f t="shared" si="8"/>
        <v>Baja Actividad</v>
      </c>
      <c r="O295" t="str">
        <f t="shared" si="9"/>
        <v>Alto Sedentarismo</v>
      </c>
    </row>
    <row r="296" spans="1:15" x14ac:dyDescent="0.3">
      <c r="A296">
        <v>2873212765</v>
      </c>
      <c r="B296" s="1">
        <v>42679</v>
      </c>
      <c r="C296">
        <v>6440</v>
      </c>
      <c r="D296" s="2">
        <v>432999992370605</v>
      </c>
      <c r="E296">
        <v>0</v>
      </c>
      <c r="F296">
        <v>0</v>
      </c>
      <c r="G296" s="2">
        <v>432000017166138</v>
      </c>
      <c r="H296" t="s">
        <v>50</v>
      </c>
      <c r="I296">
        <v>0</v>
      </c>
      <c r="J296">
        <v>0</v>
      </c>
      <c r="K296">
        <v>319</v>
      </c>
      <c r="L296">
        <v>1121</v>
      </c>
      <c r="M296">
        <v>1826</v>
      </c>
      <c r="N296" t="str">
        <f t="shared" si="8"/>
        <v>Baja Actividad</v>
      </c>
      <c r="O296" t="str">
        <f t="shared" si="9"/>
        <v>Alto Sedentarismo</v>
      </c>
    </row>
    <row r="297" spans="1:15" x14ac:dyDescent="0.3">
      <c r="A297">
        <v>2873212765</v>
      </c>
      <c r="B297" s="1">
        <v>42709</v>
      </c>
      <c r="C297">
        <v>7566</v>
      </c>
      <c r="D297" s="2">
        <v>51100001335144</v>
      </c>
      <c r="E297">
        <v>0</v>
      </c>
      <c r="F297">
        <v>0</v>
      </c>
      <c r="G297" s="2">
        <v>51100001335144</v>
      </c>
      <c r="H297">
        <v>0</v>
      </c>
      <c r="I297">
        <v>0</v>
      </c>
      <c r="J297">
        <v>0</v>
      </c>
      <c r="K297">
        <v>268</v>
      </c>
      <c r="L297">
        <v>720</v>
      </c>
      <c r="M297">
        <v>1431</v>
      </c>
      <c r="N297" t="str">
        <f t="shared" si="8"/>
        <v>Baja Actividad</v>
      </c>
      <c r="O297" t="str">
        <f t="shared" si="9"/>
        <v>Alto Sedentarismo</v>
      </c>
    </row>
    <row r="298" spans="1:15" x14ac:dyDescent="0.3">
      <c r="A298">
        <v>3372868164</v>
      </c>
      <c r="B298" s="1">
        <v>42708</v>
      </c>
      <c r="C298">
        <v>4747</v>
      </c>
      <c r="D298" s="2">
        <v>324000000953674</v>
      </c>
      <c r="E298">
        <v>0</v>
      </c>
      <c r="F298">
        <v>0</v>
      </c>
      <c r="G298" s="2">
        <v>323000001907349</v>
      </c>
      <c r="H298" t="s">
        <v>50</v>
      </c>
      <c r="I298">
        <v>0</v>
      </c>
      <c r="J298">
        <v>0</v>
      </c>
      <c r="K298">
        <v>280</v>
      </c>
      <c r="L298">
        <v>1160</v>
      </c>
      <c r="M298">
        <v>1788</v>
      </c>
      <c r="N298" t="str">
        <f t="shared" si="8"/>
        <v>Baja Actividad</v>
      </c>
      <c r="O298" t="str">
        <f t="shared" si="9"/>
        <v>Alto Sedentarismo</v>
      </c>
    </row>
    <row r="299" spans="1:15" x14ac:dyDescent="0.3">
      <c r="A299">
        <v>3372868164</v>
      </c>
      <c r="B299" t="s">
        <v>15</v>
      </c>
      <c r="C299">
        <v>9715</v>
      </c>
      <c r="D299" s="2">
        <v>663000011444092</v>
      </c>
      <c r="E299" t="s">
        <v>73</v>
      </c>
      <c r="F299" t="s">
        <v>107</v>
      </c>
      <c r="G299" s="2">
        <v>526999998092651</v>
      </c>
      <c r="H299" t="s">
        <v>54</v>
      </c>
      <c r="I299">
        <v>16</v>
      </c>
      <c r="J299">
        <v>8</v>
      </c>
      <c r="K299">
        <v>371</v>
      </c>
      <c r="L299">
        <v>1045</v>
      </c>
      <c r="M299">
        <v>2093</v>
      </c>
      <c r="N299" t="str">
        <f t="shared" si="8"/>
        <v>Baja Actividad</v>
      </c>
      <c r="O299" t="str">
        <f t="shared" si="9"/>
        <v>Alto Sedentarismo</v>
      </c>
    </row>
    <row r="300" spans="1:15" x14ac:dyDescent="0.3">
      <c r="A300">
        <v>3372868164</v>
      </c>
      <c r="B300" t="s">
        <v>17</v>
      </c>
      <c r="C300">
        <v>8844</v>
      </c>
      <c r="D300" s="2">
        <v>603000020980835</v>
      </c>
      <c r="E300" t="s">
        <v>107</v>
      </c>
      <c r="F300" s="2">
        <v>102999997138977</v>
      </c>
      <c r="G300" s="2">
        <v>465000009536743</v>
      </c>
      <c r="H300" t="s">
        <v>50</v>
      </c>
      <c r="I300">
        <v>6</v>
      </c>
      <c r="J300">
        <v>25</v>
      </c>
      <c r="K300">
        <v>370</v>
      </c>
      <c r="L300">
        <v>1039</v>
      </c>
      <c r="M300">
        <v>2065</v>
      </c>
      <c r="N300" t="str">
        <f t="shared" si="8"/>
        <v>Baja Actividad</v>
      </c>
      <c r="O300" t="str">
        <f t="shared" si="9"/>
        <v>Alto Sedentarismo</v>
      </c>
    </row>
    <row r="301" spans="1:15" x14ac:dyDescent="0.3">
      <c r="A301">
        <v>3372868164</v>
      </c>
      <c r="B301" t="s">
        <v>19</v>
      </c>
      <c r="C301">
        <v>7451</v>
      </c>
      <c r="D301" s="2">
        <v>507999992370605</v>
      </c>
      <c r="E301">
        <v>0</v>
      </c>
      <c r="F301">
        <v>0</v>
      </c>
      <c r="G301" s="2">
        <v>505999994277954</v>
      </c>
      <c r="H301" t="s">
        <v>54</v>
      </c>
      <c r="I301">
        <v>0</v>
      </c>
      <c r="J301">
        <v>0</v>
      </c>
      <c r="K301">
        <v>335</v>
      </c>
      <c r="L301">
        <v>1105</v>
      </c>
      <c r="M301">
        <v>1908</v>
      </c>
      <c r="N301" t="str">
        <f t="shared" si="8"/>
        <v>Baja Actividad</v>
      </c>
      <c r="O301" t="str">
        <f t="shared" si="9"/>
        <v>Alto Sedentarismo</v>
      </c>
    </row>
    <row r="302" spans="1:15" x14ac:dyDescent="0.3">
      <c r="A302">
        <v>3372868164</v>
      </c>
      <c r="B302" t="s">
        <v>20</v>
      </c>
      <c r="C302">
        <v>6905</v>
      </c>
      <c r="D302" s="2">
        <v>473000001907349</v>
      </c>
      <c r="E302">
        <v>0</v>
      </c>
      <c r="F302">
        <v>0</v>
      </c>
      <c r="G302" s="2">
        <v>469999980926514</v>
      </c>
      <c r="H302" t="s">
        <v>88</v>
      </c>
      <c r="I302">
        <v>0</v>
      </c>
      <c r="J302">
        <v>0</v>
      </c>
      <c r="K302">
        <v>356</v>
      </c>
      <c r="L302">
        <v>1084</v>
      </c>
      <c r="M302">
        <v>1908</v>
      </c>
      <c r="N302" t="str">
        <f t="shared" si="8"/>
        <v>Baja Actividad</v>
      </c>
      <c r="O302" t="str">
        <f t="shared" si="9"/>
        <v>Alto Sedentarismo</v>
      </c>
    </row>
    <row r="303" spans="1:15" x14ac:dyDescent="0.3">
      <c r="A303">
        <v>3372868164</v>
      </c>
      <c r="B303" t="s">
        <v>22</v>
      </c>
      <c r="C303">
        <v>8199</v>
      </c>
      <c r="D303" s="2">
        <v>588000011444092</v>
      </c>
      <c r="E303" s="2">
        <v>14099999666214</v>
      </c>
      <c r="F303" t="s">
        <v>93</v>
      </c>
      <c r="G303" s="2">
        <v>43600001335144</v>
      </c>
      <c r="H303" t="s">
        <v>50</v>
      </c>
      <c r="I303">
        <v>11</v>
      </c>
      <c r="J303">
        <v>2</v>
      </c>
      <c r="K303">
        <v>322</v>
      </c>
      <c r="L303">
        <v>1105</v>
      </c>
      <c r="M303">
        <v>1964</v>
      </c>
      <c r="N303" t="str">
        <f t="shared" si="8"/>
        <v>Baja Actividad</v>
      </c>
      <c r="O303" t="str">
        <f t="shared" si="9"/>
        <v>Alto Sedentarismo</v>
      </c>
    </row>
    <row r="304" spans="1:15" x14ac:dyDescent="0.3">
      <c r="A304">
        <v>3372868164</v>
      </c>
      <c r="B304" t="s">
        <v>24</v>
      </c>
      <c r="C304">
        <v>6798</v>
      </c>
      <c r="D304" s="2">
        <v>46399998664856</v>
      </c>
      <c r="E304" s="2">
        <v>108000004291534</v>
      </c>
      <c r="F304" t="s">
        <v>56</v>
      </c>
      <c r="G304" s="2">
        <v>334999990463257</v>
      </c>
      <c r="H304">
        <v>0</v>
      </c>
      <c r="I304">
        <v>20</v>
      </c>
      <c r="J304">
        <v>7</v>
      </c>
      <c r="K304">
        <v>343</v>
      </c>
      <c r="L304">
        <v>1070</v>
      </c>
      <c r="M304">
        <v>2014</v>
      </c>
      <c r="N304" t="str">
        <f t="shared" si="8"/>
        <v>Baja Actividad</v>
      </c>
      <c r="O304" t="str">
        <f t="shared" si="9"/>
        <v>Alto Sedentarismo</v>
      </c>
    </row>
    <row r="305" spans="1:15" x14ac:dyDescent="0.3">
      <c r="A305">
        <v>3372868164</v>
      </c>
      <c r="B305" t="s">
        <v>27</v>
      </c>
      <c r="C305">
        <v>7711</v>
      </c>
      <c r="D305" s="2">
        <v>526000022888184</v>
      </c>
      <c r="E305">
        <v>0</v>
      </c>
      <c r="F305">
        <v>0</v>
      </c>
      <c r="G305" s="2">
        <v>523999977111816</v>
      </c>
      <c r="H305" t="s">
        <v>54</v>
      </c>
      <c r="I305">
        <v>0</v>
      </c>
      <c r="J305">
        <v>0</v>
      </c>
      <c r="K305">
        <v>376</v>
      </c>
      <c r="L305">
        <v>1064</v>
      </c>
      <c r="M305">
        <v>1985</v>
      </c>
      <c r="N305" t="str">
        <f t="shared" si="8"/>
        <v>Baja Actividad</v>
      </c>
      <c r="O305" t="str">
        <f t="shared" si="9"/>
        <v>Alto Sedentarismo</v>
      </c>
    </row>
    <row r="306" spans="1:15" x14ac:dyDescent="0.3">
      <c r="A306">
        <v>3372868164</v>
      </c>
      <c r="B306" t="s">
        <v>28</v>
      </c>
      <c r="C306">
        <v>4880</v>
      </c>
      <c r="D306" s="2">
        <v>332999992370605</v>
      </c>
      <c r="E306" t="s">
        <v>124</v>
      </c>
      <c r="F306" t="s">
        <v>125</v>
      </c>
      <c r="G306" s="2">
        <v>238000011444092</v>
      </c>
      <c r="H306" t="s">
        <v>54</v>
      </c>
      <c r="I306">
        <v>15</v>
      </c>
      <c r="J306">
        <v>3</v>
      </c>
      <c r="K306">
        <v>274</v>
      </c>
      <c r="L306">
        <v>1148</v>
      </c>
      <c r="M306">
        <v>1867</v>
      </c>
      <c r="N306" t="str">
        <f t="shared" si="8"/>
        <v>Baja Actividad</v>
      </c>
      <c r="O306" t="str">
        <f t="shared" si="9"/>
        <v>Alto Sedentarismo</v>
      </c>
    </row>
    <row r="307" spans="1:15" x14ac:dyDescent="0.3">
      <c r="A307">
        <v>3372868164</v>
      </c>
      <c r="B307" t="s">
        <v>30</v>
      </c>
      <c r="C307">
        <v>8857</v>
      </c>
      <c r="D307" s="2">
        <v>607000017166138</v>
      </c>
      <c r="E307" s="2">
        <v>114999997615814</v>
      </c>
      <c r="F307" t="s">
        <v>85</v>
      </c>
      <c r="G307" s="2">
        <v>46399998664856</v>
      </c>
      <c r="H307" t="s">
        <v>50</v>
      </c>
      <c r="I307">
        <v>18</v>
      </c>
      <c r="J307">
        <v>9</v>
      </c>
      <c r="K307">
        <v>376</v>
      </c>
      <c r="L307">
        <v>1037</v>
      </c>
      <c r="M307">
        <v>2124</v>
      </c>
      <c r="N307" t="str">
        <f t="shared" si="8"/>
        <v>Baja Actividad</v>
      </c>
      <c r="O307" t="str">
        <f t="shared" si="9"/>
        <v>Alto Sedentarismo</v>
      </c>
    </row>
    <row r="308" spans="1:15" x14ac:dyDescent="0.3">
      <c r="A308">
        <v>3372868164</v>
      </c>
      <c r="B308" t="s">
        <v>32</v>
      </c>
      <c r="C308">
        <v>3843</v>
      </c>
      <c r="D308" s="2">
        <v>261999988555908</v>
      </c>
      <c r="E308">
        <v>0</v>
      </c>
      <c r="F308">
        <v>0</v>
      </c>
      <c r="G308" s="2">
        <v>260999989509583</v>
      </c>
      <c r="H308" t="s">
        <v>50</v>
      </c>
      <c r="I308">
        <v>0</v>
      </c>
      <c r="J308">
        <v>0</v>
      </c>
      <c r="K308">
        <v>206</v>
      </c>
      <c r="L308">
        <v>1234</v>
      </c>
      <c r="M308">
        <v>1669</v>
      </c>
      <c r="N308" t="str">
        <f t="shared" si="8"/>
        <v>Baja Actividad</v>
      </c>
      <c r="O308" t="str">
        <f t="shared" si="9"/>
        <v>Alto Sedentarismo</v>
      </c>
    </row>
    <row r="309" spans="1:15" x14ac:dyDescent="0.3">
      <c r="A309">
        <v>3372868164</v>
      </c>
      <c r="B309" t="s">
        <v>33</v>
      </c>
      <c r="C309">
        <v>7396</v>
      </c>
      <c r="D309" s="2">
        <v>507000017166138</v>
      </c>
      <c r="E309" s="2">
        <v>139999997615814</v>
      </c>
      <c r="F309" t="s">
        <v>111</v>
      </c>
      <c r="G309" s="2">
        <v>357999992370605</v>
      </c>
      <c r="H309">
        <v>0</v>
      </c>
      <c r="I309">
        <v>20</v>
      </c>
      <c r="J309">
        <v>2</v>
      </c>
      <c r="K309">
        <v>303</v>
      </c>
      <c r="L309">
        <v>1115</v>
      </c>
      <c r="M309">
        <v>1995</v>
      </c>
      <c r="N309" t="str">
        <f t="shared" si="8"/>
        <v>Baja Actividad</v>
      </c>
      <c r="O309" t="str">
        <f t="shared" si="9"/>
        <v>Alto Sedentarismo</v>
      </c>
    </row>
    <row r="310" spans="1:15" x14ac:dyDescent="0.3">
      <c r="A310">
        <v>3372868164</v>
      </c>
      <c r="B310" t="s">
        <v>35</v>
      </c>
      <c r="C310">
        <v>6731</v>
      </c>
      <c r="D310" s="2">
        <v>459000015258789</v>
      </c>
      <c r="E310" t="s">
        <v>65</v>
      </c>
      <c r="F310" t="s">
        <v>112</v>
      </c>
      <c r="G310" s="2">
        <v>349000000953674</v>
      </c>
      <c r="H310" t="s">
        <v>54</v>
      </c>
      <c r="I310">
        <v>14</v>
      </c>
      <c r="J310">
        <v>7</v>
      </c>
      <c r="K310">
        <v>292</v>
      </c>
      <c r="L310">
        <v>1127</v>
      </c>
      <c r="M310">
        <v>1921</v>
      </c>
      <c r="N310" t="str">
        <f t="shared" si="8"/>
        <v>Baja Actividad</v>
      </c>
      <c r="O310" t="str">
        <f t="shared" si="9"/>
        <v>Alto Sedentarismo</v>
      </c>
    </row>
    <row r="311" spans="1:15" x14ac:dyDescent="0.3">
      <c r="A311">
        <v>3372868164</v>
      </c>
      <c r="B311" t="s">
        <v>37</v>
      </c>
      <c r="C311">
        <v>5995</v>
      </c>
      <c r="D311" s="2">
        <v>409000015258789</v>
      </c>
      <c r="E311">
        <v>0</v>
      </c>
      <c r="F311">
        <v>0</v>
      </c>
      <c r="G311" s="2">
        <v>409000015258789</v>
      </c>
      <c r="H311">
        <v>0</v>
      </c>
      <c r="I311">
        <v>0</v>
      </c>
      <c r="J311">
        <v>0</v>
      </c>
      <c r="K311">
        <v>416</v>
      </c>
      <c r="L311">
        <v>1024</v>
      </c>
      <c r="M311">
        <v>2010</v>
      </c>
      <c r="N311" t="str">
        <f t="shared" si="8"/>
        <v>Baja Actividad</v>
      </c>
      <c r="O311" t="str">
        <f t="shared" si="9"/>
        <v>Alto Sedentarismo</v>
      </c>
    </row>
    <row r="312" spans="1:15" x14ac:dyDescent="0.3">
      <c r="A312">
        <v>3372868164</v>
      </c>
      <c r="B312" t="s">
        <v>39</v>
      </c>
      <c r="C312">
        <v>8283</v>
      </c>
      <c r="D312" s="2">
        <v>578999996185303</v>
      </c>
      <c r="E312" s="2">
        <v>185000002384186</v>
      </c>
      <c r="F312" t="s">
        <v>126</v>
      </c>
      <c r="G312" s="2">
        <v>386999988555908</v>
      </c>
      <c r="H312" t="s">
        <v>50</v>
      </c>
      <c r="I312">
        <v>22</v>
      </c>
      <c r="J312">
        <v>2</v>
      </c>
      <c r="K312">
        <v>333</v>
      </c>
      <c r="L312">
        <v>1083</v>
      </c>
      <c r="M312">
        <v>2057</v>
      </c>
      <c r="N312" t="str">
        <f t="shared" si="8"/>
        <v>Baja Actividad</v>
      </c>
      <c r="O312" t="str">
        <f t="shared" si="9"/>
        <v>Alto Sedentarismo</v>
      </c>
    </row>
    <row r="313" spans="1:15" x14ac:dyDescent="0.3">
      <c r="A313">
        <v>3372868164</v>
      </c>
      <c r="B313" t="s">
        <v>41</v>
      </c>
      <c r="C313">
        <v>7904</v>
      </c>
      <c r="D313" s="2">
        <v>542000007629395</v>
      </c>
      <c r="E313" s="2">
        <v>158000004291534</v>
      </c>
      <c r="F313" t="s">
        <v>71</v>
      </c>
      <c r="G313" s="2">
        <v>319000005722046</v>
      </c>
      <c r="H313" t="s">
        <v>50</v>
      </c>
      <c r="I313">
        <v>24</v>
      </c>
      <c r="J313">
        <v>13</v>
      </c>
      <c r="K313">
        <v>346</v>
      </c>
      <c r="L313">
        <v>1057</v>
      </c>
      <c r="M313">
        <v>2095</v>
      </c>
      <c r="N313" t="str">
        <f t="shared" si="8"/>
        <v>Baja Actividad</v>
      </c>
      <c r="O313" t="str">
        <f t="shared" si="9"/>
        <v>Alto Sedentarismo</v>
      </c>
    </row>
    <row r="314" spans="1:15" x14ac:dyDescent="0.3">
      <c r="A314">
        <v>3372868164</v>
      </c>
      <c r="B314" t="s">
        <v>42</v>
      </c>
      <c r="C314">
        <v>5512</v>
      </c>
      <c r="D314" s="2">
        <v>375999999046326</v>
      </c>
      <c r="E314">
        <v>0</v>
      </c>
      <c r="F314">
        <v>0</v>
      </c>
      <c r="G314" s="2">
        <v>375999999046326</v>
      </c>
      <c r="H314">
        <v>0</v>
      </c>
      <c r="I314">
        <v>0</v>
      </c>
      <c r="J314">
        <v>0</v>
      </c>
      <c r="K314">
        <v>385</v>
      </c>
      <c r="L314">
        <v>1055</v>
      </c>
      <c r="M314">
        <v>1972</v>
      </c>
      <c r="N314" t="str">
        <f t="shared" si="8"/>
        <v>Baja Actividad</v>
      </c>
      <c r="O314" t="str">
        <f t="shared" si="9"/>
        <v>Alto Sedentarismo</v>
      </c>
    </row>
    <row r="315" spans="1:15" x14ac:dyDescent="0.3">
      <c r="A315">
        <v>3372868164</v>
      </c>
      <c r="B315" t="s">
        <v>43</v>
      </c>
      <c r="C315">
        <v>9135</v>
      </c>
      <c r="D315" s="2">
        <v>623000001907349</v>
      </c>
      <c r="E315">
        <v>0</v>
      </c>
      <c r="F315">
        <v>0</v>
      </c>
      <c r="G315" s="2">
        <v>621999979019165</v>
      </c>
      <c r="H315" t="s">
        <v>50</v>
      </c>
      <c r="I315">
        <v>0</v>
      </c>
      <c r="J315">
        <v>0</v>
      </c>
      <c r="K315">
        <v>402</v>
      </c>
      <c r="L315">
        <v>1038</v>
      </c>
      <c r="M315">
        <v>2044</v>
      </c>
      <c r="N315" t="str">
        <f t="shared" si="8"/>
        <v>Baja Actividad</v>
      </c>
      <c r="O315" t="str">
        <f t="shared" si="9"/>
        <v>Alto Sedentarismo</v>
      </c>
    </row>
    <row r="316" spans="1:15" x14ac:dyDescent="0.3">
      <c r="A316">
        <v>3372868164</v>
      </c>
      <c r="B316" t="s">
        <v>45</v>
      </c>
      <c r="C316">
        <v>5250</v>
      </c>
      <c r="D316" s="2">
        <v>357999992370605</v>
      </c>
      <c r="E316" s="2">
        <v>105999994277954</v>
      </c>
      <c r="F316" t="s">
        <v>125</v>
      </c>
      <c r="G316" s="2">
        <v>242000007629395</v>
      </c>
      <c r="H316" t="s">
        <v>50</v>
      </c>
      <c r="I316">
        <v>17</v>
      </c>
      <c r="J316">
        <v>4</v>
      </c>
      <c r="K316">
        <v>300</v>
      </c>
      <c r="L316">
        <v>1119</v>
      </c>
      <c r="M316">
        <v>1946</v>
      </c>
      <c r="N316" t="str">
        <f t="shared" si="8"/>
        <v>Baja Actividad</v>
      </c>
      <c r="O316" t="str">
        <f t="shared" si="9"/>
        <v>Alto Sedentarismo</v>
      </c>
    </row>
    <row r="317" spans="1:15" x14ac:dyDescent="0.3">
      <c r="A317">
        <v>3372868164</v>
      </c>
      <c r="B317" s="1">
        <v>42374</v>
      </c>
      <c r="C317">
        <v>3077</v>
      </c>
      <c r="D317" s="2">
        <v>209999990463257</v>
      </c>
      <c r="E317">
        <v>0</v>
      </c>
      <c r="F317">
        <v>0</v>
      </c>
      <c r="G317" s="2">
        <v>208999991416931</v>
      </c>
      <c r="H317">
        <v>0</v>
      </c>
      <c r="I317">
        <v>0</v>
      </c>
      <c r="J317">
        <v>0</v>
      </c>
      <c r="K317">
        <v>172</v>
      </c>
      <c r="L317">
        <v>842</v>
      </c>
      <c r="M317">
        <v>1237</v>
      </c>
      <c r="N317" t="str">
        <f t="shared" si="8"/>
        <v>Baja Actividad</v>
      </c>
      <c r="O317" t="str">
        <f t="shared" si="9"/>
        <v>Alto Sedentarismo</v>
      </c>
    </row>
    <row r="318" spans="1:15" x14ac:dyDescent="0.3">
      <c r="A318">
        <v>3977333714</v>
      </c>
      <c r="B318" s="1">
        <v>42708</v>
      </c>
      <c r="C318">
        <v>8856</v>
      </c>
      <c r="D318" s="2">
        <v>598000001907349</v>
      </c>
      <c r="E318" s="2">
        <v>305999994277954</v>
      </c>
      <c r="F318" t="s">
        <v>55</v>
      </c>
      <c r="G318" s="2">
        <v>200999999046326</v>
      </c>
      <c r="H318">
        <v>0</v>
      </c>
      <c r="I318">
        <v>44</v>
      </c>
      <c r="J318">
        <v>19</v>
      </c>
      <c r="K318">
        <v>131</v>
      </c>
      <c r="L318">
        <v>777</v>
      </c>
      <c r="M318">
        <v>1450</v>
      </c>
      <c r="N318" t="str">
        <f t="shared" si="8"/>
        <v>Baja Actividad</v>
      </c>
      <c r="O318" t="str">
        <f t="shared" si="9"/>
        <v>Alto Sedentarismo</v>
      </c>
    </row>
    <row r="319" spans="1:15" x14ac:dyDescent="0.3">
      <c r="A319">
        <v>3977333714</v>
      </c>
      <c r="B319" t="s">
        <v>15</v>
      </c>
      <c r="C319">
        <v>10035</v>
      </c>
      <c r="D319" s="2">
        <v>671000003814697</v>
      </c>
      <c r="E319" s="2">
        <v>202999997138977</v>
      </c>
      <c r="F319" s="2">
        <v>213000011444092</v>
      </c>
      <c r="G319" s="2">
        <v>254999995231628</v>
      </c>
      <c r="H319">
        <v>0</v>
      </c>
      <c r="I319">
        <v>31</v>
      </c>
      <c r="J319">
        <v>46</v>
      </c>
      <c r="K319">
        <v>153</v>
      </c>
      <c r="L319">
        <v>754</v>
      </c>
      <c r="M319">
        <v>1495</v>
      </c>
      <c r="N319" t="str">
        <f t="shared" si="8"/>
        <v>Alta Actividad</v>
      </c>
      <c r="O319" t="str">
        <f t="shared" si="9"/>
        <v>Alto Sedentarismo</v>
      </c>
    </row>
    <row r="320" spans="1:15" x14ac:dyDescent="0.3">
      <c r="A320">
        <v>3977333714</v>
      </c>
      <c r="B320" t="s">
        <v>17</v>
      </c>
      <c r="C320">
        <v>7641</v>
      </c>
      <c r="D320" s="2">
        <v>51100001335144</v>
      </c>
      <c r="E320" t="s">
        <v>48</v>
      </c>
      <c r="F320" t="s">
        <v>52</v>
      </c>
      <c r="G320" s="2">
        <v>38199999332428</v>
      </c>
      <c r="H320">
        <v>0</v>
      </c>
      <c r="I320">
        <v>5</v>
      </c>
      <c r="J320">
        <v>23</v>
      </c>
      <c r="K320">
        <v>214</v>
      </c>
      <c r="L320">
        <v>801</v>
      </c>
      <c r="M320">
        <v>1433</v>
      </c>
      <c r="N320" t="str">
        <f t="shared" si="8"/>
        <v>Baja Actividad</v>
      </c>
      <c r="O320" t="str">
        <f t="shared" si="9"/>
        <v>Alto Sedentarismo</v>
      </c>
    </row>
    <row r="321" spans="1:15" x14ac:dyDescent="0.3">
      <c r="A321">
        <v>3977333714</v>
      </c>
      <c r="B321" t="s">
        <v>19</v>
      </c>
      <c r="C321">
        <v>9010</v>
      </c>
      <c r="D321" s="2">
        <v>605999994277954</v>
      </c>
      <c r="E321" s="2">
        <v>104999995231628</v>
      </c>
      <c r="F321" t="s">
        <v>127</v>
      </c>
      <c r="G321" s="2">
        <v>325999999046326</v>
      </c>
      <c r="H321">
        <v>0</v>
      </c>
      <c r="I321">
        <v>15</v>
      </c>
      <c r="J321">
        <v>42</v>
      </c>
      <c r="K321">
        <v>183</v>
      </c>
      <c r="L321">
        <v>644</v>
      </c>
      <c r="M321">
        <v>1468</v>
      </c>
      <c r="N321" t="str">
        <f t="shared" si="8"/>
        <v>Baja Actividad</v>
      </c>
      <c r="O321" t="str">
        <f t="shared" si="9"/>
        <v>Bajo Sedentarismo</v>
      </c>
    </row>
    <row r="322" spans="1:15" x14ac:dyDescent="0.3">
      <c r="A322">
        <v>3977333714</v>
      </c>
      <c r="B322" t="s">
        <v>20</v>
      </c>
      <c r="C322">
        <v>13459</v>
      </c>
      <c r="D322">
        <v>9</v>
      </c>
      <c r="E322" s="2">
        <v>202999997138977</v>
      </c>
      <c r="F322">
        <v>4</v>
      </c>
      <c r="G322" s="2">
        <v>297000002861023</v>
      </c>
      <c r="H322">
        <v>0</v>
      </c>
      <c r="I322">
        <v>31</v>
      </c>
      <c r="J322">
        <v>83</v>
      </c>
      <c r="K322">
        <v>153</v>
      </c>
      <c r="L322">
        <v>663</v>
      </c>
      <c r="M322">
        <v>1625</v>
      </c>
      <c r="N322" t="str">
        <f t="shared" si="8"/>
        <v>Alta Actividad</v>
      </c>
      <c r="O322" t="str">
        <f t="shared" si="9"/>
        <v>Bajo Sedentarismo</v>
      </c>
    </row>
    <row r="323" spans="1:15" x14ac:dyDescent="0.3">
      <c r="A323">
        <v>3977333714</v>
      </c>
      <c r="B323" t="s">
        <v>22</v>
      </c>
      <c r="C323">
        <v>10415</v>
      </c>
      <c r="D323" s="2">
        <v>696999979019165</v>
      </c>
      <c r="E323" t="s">
        <v>128</v>
      </c>
      <c r="F323" s="2">
        <v>234999990463257</v>
      </c>
      <c r="G323" s="2">
        <v>392000007629395</v>
      </c>
      <c r="H323">
        <v>0</v>
      </c>
      <c r="I323">
        <v>11</v>
      </c>
      <c r="J323">
        <v>58</v>
      </c>
      <c r="K323">
        <v>205</v>
      </c>
      <c r="L323">
        <v>600</v>
      </c>
      <c r="M323">
        <v>1529</v>
      </c>
      <c r="N323" t="str">
        <f t="shared" ref="N323:N386" si="10">IF(C323&gt;=10000, "Alta Actividad", "Baja Actividad")</f>
        <v>Alta Actividad</v>
      </c>
      <c r="O323" t="str">
        <f t="shared" ref="O323:O386" si="11">IF(L323&gt;=700, "Alto Sedentarismo",  "Bajo Sedentarismo")</f>
        <v>Bajo Sedentarismo</v>
      </c>
    </row>
    <row r="324" spans="1:15" x14ac:dyDescent="0.3">
      <c r="A324">
        <v>3977333714</v>
      </c>
      <c r="B324" t="s">
        <v>24</v>
      </c>
      <c r="C324">
        <v>11663</v>
      </c>
      <c r="D324" s="2">
        <v>780000019073486</v>
      </c>
      <c r="E324" t="s">
        <v>47</v>
      </c>
      <c r="F324" s="2">
        <v>373000001907349</v>
      </c>
      <c r="G324" s="2">
        <v>38199999332428</v>
      </c>
      <c r="H324">
        <v>0</v>
      </c>
      <c r="I324">
        <v>4</v>
      </c>
      <c r="J324">
        <v>95</v>
      </c>
      <c r="K324">
        <v>214</v>
      </c>
      <c r="L324">
        <v>605</v>
      </c>
      <c r="M324">
        <v>1584</v>
      </c>
      <c r="N324" t="str">
        <f t="shared" si="10"/>
        <v>Alta Actividad</v>
      </c>
      <c r="O324" t="str">
        <f t="shared" si="11"/>
        <v>Bajo Sedentarismo</v>
      </c>
    </row>
    <row r="325" spans="1:15" x14ac:dyDescent="0.3">
      <c r="A325">
        <v>3977333714</v>
      </c>
      <c r="B325" t="s">
        <v>27</v>
      </c>
      <c r="C325">
        <v>12414</v>
      </c>
      <c r="D325" s="2">
        <v>877999973297119</v>
      </c>
      <c r="E325" s="2">
        <v>224000000953674</v>
      </c>
      <c r="F325" s="2">
        <v>245000004768372</v>
      </c>
      <c r="G325" s="2">
        <v>396000003814697</v>
      </c>
      <c r="H325">
        <v>0</v>
      </c>
      <c r="I325">
        <v>19</v>
      </c>
      <c r="J325">
        <v>67</v>
      </c>
      <c r="K325">
        <v>221</v>
      </c>
      <c r="L325">
        <v>738</v>
      </c>
      <c r="M325">
        <v>1638</v>
      </c>
      <c r="N325" t="str">
        <f t="shared" si="10"/>
        <v>Alta Actividad</v>
      </c>
      <c r="O325" t="str">
        <f t="shared" si="11"/>
        <v>Alto Sedentarismo</v>
      </c>
    </row>
    <row r="326" spans="1:15" x14ac:dyDescent="0.3">
      <c r="A326">
        <v>3977333714</v>
      </c>
      <c r="B326" t="s">
        <v>28</v>
      </c>
      <c r="C326">
        <v>11658</v>
      </c>
      <c r="D326" s="2">
        <v>782999992370605</v>
      </c>
      <c r="E326" t="s">
        <v>56</v>
      </c>
      <c r="F326" s="2">
        <v>434999990463257</v>
      </c>
      <c r="G326" s="2">
        <v>327999997138977</v>
      </c>
      <c r="H326">
        <v>0</v>
      </c>
      <c r="I326">
        <v>2</v>
      </c>
      <c r="J326">
        <v>98</v>
      </c>
      <c r="K326">
        <v>164</v>
      </c>
      <c r="L326">
        <v>845</v>
      </c>
      <c r="M326">
        <v>1554</v>
      </c>
      <c r="N326" t="str">
        <f t="shared" si="10"/>
        <v>Alta Actividad</v>
      </c>
      <c r="O326" t="str">
        <f t="shared" si="11"/>
        <v>Alto Sedentarismo</v>
      </c>
    </row>
    <row r="327" spans="1:15" x14ac:dyDescent="0.3">
      <c r="A327">
        <v>3977333714</v>
      </c>
      <c r="B327" t="s">
        <v>30</v>
      </c>
      <c r="C327">
        <v>6093</v>
      </c>
      <c r="D327" s="2">
        <v>407999992370605</v>
      </c>
      <c r="E327">
        <v>0</v>
      </c>
      <c r="F327">
        <v>0</v>
      </c>
      <c r="G327" s="2">
        <v>405999994277954</v>
      </c>
      <c r="H327">
        <v>0</v>
      </c>
      <c r="I327">
        <v>0</v>
      </c>
      <c r="J327">
        <v>0</v>
      </c>
      <c r="K327">
        <v>242</v>
      </c>
      <c r="L327">
        <v>712</v>
      </c>
      <c r="M327">
        <v>1397</v>
      </c>
      <c r="N327" t="str">
        <f t="shared" si="10"/>
        <v>Baja Actividad</v>
      </c>
      <c r="O327" t="str">
        <f t="shared" si="11"/>
        <v>Alto Sedentarismo</v>
      </c>
    </row>
    <row r="328" spans="1:15" x14ac:dyDescent="0.3">
      <c r="A328">
        <v>3977333714</v>
      </c>
      <c r="B328" t="s">
        <v>32</v>
      </c>
      <c r="C328">
        <v>8911</v>
      </c>
      <c r="D328" s="2">
        <v>596000003814697</v>
      </c>
      <c r="E328" s="2">
        <v>232999992370605</v>
      </c>
      <c r="F328" t="s">
        <v>67</v>
      </c>
      <c r="G328" s="2">
        <v>305999994277954</v>
      </c>
      <c r="H328">
        <v>0</v>
      </c>
      <c r="I328">
        <v>33</v>
      </c>
      <c r="J328">
        <v>12</v>
      </c>
      <c r="K328">
        <v>188</v>
      </c>
      <c r="L328">
        <v>731</v>
      </c>
      <c r="M328">
        <v>1481</v>
      </c>
      <c r="N328" t="str">
        <f t="shared" si="10"/>
        <v>Baja Actividad</v>
      </c>
      <c r="O328" t="str">
        <f t="shared" si="11"/>
        <v>Alto Sedentarismo</v>
      </c>
    </row>
    <row r="329" spans="1:15" x14ac:dyDescent="0.3">
      <c r="A329">
        <v>3977333714</v>
      </c>
      <c r="B329" t="s">
        <v>33</v>
      </c>
      <c r="C329">
        <v>12058</v>
      </c>
      <c r="D329" s="2">
        <v>806999969482422</v>
      </c>
      <c r="E329">
        <v>0</v>
      </c>
      <c r="F329" s="2">
        <v>421999979019165</v>
      </c>
      <c r="G329" s="2">
        <v>384999990463257</v>
      </c>
      <c r="H329">
        <v>0</v>
      </c>
      <c r="I329">
        <v>0</v>
      </c>
      <c r="J329">
        <v>92</v>
      </c>
      <c r="K329">
        <v>252</v>
      </c>
      <c r="L329">
        <v>724</v>
      </c>
      <c r="M329">
        <v>1638</v>
      </c>
      <c r="N329" t="str">
        <f t="shared" si="10"/>
        <v>Alta Actividad</v>
      </c>
      <c r="O329" t="str">
        <f t="shared" si="11"/>
        <v>Alto Sedentarismo</v>
      </c>
    </row>
    <row r="330" spans="1:15" x14ac:dyDescent="0.3">
      <c r="A330">
        <v>3977333714</v>
      </c>
      <c r="B330" t="s">
        <v>35</v>
      </c>
      <c r="C330">
        <v>14112</v>
      </c>
      <c r="D330">
        <v>10</v>
      </c>
      <c r="E330" s="2">
        <v>326999998092651</v>
      </c>
      <c r="F330" s="2">
        <v>455999994277954</v>
      </c>
      <c r="G330" s="2">
        <v>217000007629395</v>
      </c>
      <c r="H330">
        <v>0</v>
      </c>
      <c r="I330">
        <v>30</v>
      </c>
      <c r="J330">
        <v>95</v>
      </c>
      <c r="K330">
        <v>129</v>
      </c>
      <c r="L330">
        <v>660</v>
      </c>
      <c r="M330">
        <v>1655</v>
      </c>
      <c r="N330" t="str">
        <f t="shared" si="10"/>
        <v>Alta Actividad</v>
      </c>
      <c r="O330" t="str">
        <f t="shared" si="11"/>
        <v>Bajo Sedentarismo</v>
      </c>
    </row>
    <row r="331" spans="1:15" x14ac:dyDescent="0.3">
      <c r="A331">
        <v>3977333714</v>
      </c>
      <c r="B331" t="s">
        <v>37</v>
      </c>
      <c r="C331">
        <v>11177</v>
      </c>
      <c r="D331" s="2">
        <v>847999954223633</v>
      </c>
      <c r="E331" s="2">
        <v>561999988555908</v>
      </c>
      <c r="F331" t="s">
        <v>129</v>
      </c>
      <c r="G331" s="2">
        <v>241000008583069</v>
      </c>
      <c r="H331">
        <v>0</v>
      </c>
      <c r="I331">
        <v>50</v>
      </c>
      <c r="J331">
        <v>9</v>
      </c>
      <c r="K331">
        <v>133</v>
      </c>
      <c r="L331">
        <v>781</v>
      </c>
      <c r="M331">
        <v>1570</v>
      </c>
      <c r="N331" t="str">
        <f t="shared" si="10"/>
        <v>Alta Actividad</v>
      </c>
      <c r="O331" t="str">
        <f t="shared" si="11"/>
        <v>Alto Sedentarismo</v>
      </c>
    </row>
    <row r="332" spans="1:15" x14ac:dyDescent="0.3">
      <c r="A332">
        <v>3977333714</v>
      </c>
      <c r="B332" t="s">
        <v>39</v>
      </c>
      <c r="C332">
        <v>11388</v>
      </c>
      <c r="D332" s="2">
        <v>761999988555908</v>
      </c>
      <c r="E332" t="s">
        <v>130</v>
      </c>
      <c r="F332" s="2">
        <v>421999979019165</v>
      </c>
      <c r="G332" s="2">
        <v>295000004768372</v>
      </c>
      <c r="H332">
        <v>0</v>
      </c>
      <c r="I332">
        <v>7</v>
      </c>
      <c r="J332">
        <v>95</v>
      </c>
      <c r="K332">
        <v>170</v>
      </c>
      <c r="L332">
        <v>797</v>
      </c>
      <c r="M332">
        <v>1551</v>
      </c>
      <c r="N332" t="str">
        <f t="shared" si="10"/>
        <v>Alta Actividad</v>
      </c>
      <c r="O332" t="str">
        <f t="shared" si="11"/>
        <v>Alto Sedentarismo</v>
      </c>
    </row>
    <row r="333" spans="1:15" x14ac:dyDescent="0.3">
      <c r="A333">
        <v>3977333714</v>
      </c>
      <c r="B333" t="s">
        <v>41</v>
      </c>
      <c r="C333">
        <v>7193</v>
      </c>
      <c r="D333" s="2">
        <v>503999996185303</v>
      </c>
      <c r="E333">
        <v>0</v>
      </c>
      <c r="F333" t="s">
        <v>102</v>
      </c>
      <c r="G333" s="2">
        <v>461999988555908</v>
      </c>
      <c r="H333">
        <v>0</v>
      </c>
      <c r="I333">
        <v>0</v>
      </c>
      <c r="J333">
        <v>10</v>
      </c>
      <c r="K333">
        <v>176</v>
      </c>
      <c r="L333">
        <v>714</v>
      </c>
      <c r="M333">
        <v>1377</v>
      </c>
      <c r="N333" t="str">
        <f t="shared" si="10"/>
        <v>Baja Actividad</v>
      </c>
      <c r="O333" t="str">
        <f t="shared" si="11"/>
        <v>Alto Sedentarismo</v>
      </c>
    </row>
    <row r="334" spans="1:15" x14ac:dyDescent="0.3">
      <c r="A334">
        <v>3977333714</v>
      </c>
      <c r="B334" t="s">
        <v>42</v>
      </c>
      <c r="C334">
        <v>7114</v>
      </c>
      <c r="D334" s="2">
        <v>488000011444092</v>
      </c>
      <c r="E334" s="2">
        <v>137000000476837</v>
      </c>
      <c r="F334" t="s">
        <v>131</v>
      </c>
      <c r="G334" s="2">
        <v>322000002861023</v>
      </c>
      <c r="H334">
        <v>0</v>
      </c>
      <c r="I334">
        <v>15</v>
      </c>
      <c r="J334">
        <v>8</v>
      </c>
      <c r="K334">
        <v>190</v>
      </c>
      <c r="L334">
        <v>804</v>
      </c>
      <c r="M334">
        <v>1407</v>
      </c>
      <c r="N334" t="str">
        <f t="shared" si="10"/>
        <v>Baja Actividad</v>
      </c>
      <c r="O334" t="str">
        <f t="shared" si="11"/>
        <v>Alto Sedentarismo</v>
      </c>
    </row>
    <row r="335" spans="1:15" x14ac:dyDescent="0.3">
      <c r="A335">
        <v>3977333714</v>
      </c>
      <c r="B335" t="s">
        <v>43</v>
      </c>
      <c r="C335">
        <v>10645</v>
      </c>
      <c r="D335" t="s">
        <v>132</v>
      </c>
      <c r="E335" s="2">
        <v>374000000953674</v>
      </c>
      <c r="F335" s="2">
        <v>129999995231628</v>
      </c>
      <c r="G335" s="2">
        <v>271000003814697</v>
      </c>
      <c r="H335">
        <v>0</v>
      </c>
      <c r="I335">
        <v>36</v>
      </c>
      <c r="J335">
        <v>32</v>
      </c>
      <c r="K335">
        <v>150</v>
      </c>
      <c r="L335">
        <v>744</v>
      </c>
      <c r="M335">
        <v>1545</v>
      </c>
      <c r="N335" t="str">
        <f t="shared" si="10"/>
        <v>Alta Actividad</v>
      </c>
      <c r="O335" t="str">
        <f t="shared" si="11"/>
        <v>Alto Sedentarismo</v>
      </c>
    </row>
    <row r="336" spans="1:15" x14ac:dyDescent="0.3">
      <c r="A336">
        <v>3977333714</v>
      </c>
      <c r="B336" t="s">
        <v>45</v>
      </c>
      <c r="C336">
        <v>13238</v>
      </c>
      <c r="D336" s="2">
        <v>919999980926514</v>
      </c>
      <c r="E336" s="2">
        <v>369000005722046</v>
      </c>
      <c r="F336" s="2">
        <v>209999990463257</v>
      </c>
      <c r="G336" s="2">
        <v>341000008583069</v>
      </c>
      <c r="H336">
        <v>0</v>
      </c>
      <c r="I336">
        <v>43</v>
      </c>
      <c r="J336">
        <v>52</v>
      </c>
      <c r="K336">
        <v>194</v>
      </c>
      <c r="L336">
        <v>687</v>
      </c>
      <c r="M336">
        <v>1650</v>
      </c>
      <c r="N336" t="str">
        <f t="shared" si="10"/>
        <v>Alta Actividad</v>
      </c>
      <c r="O336" t="str">
        <f t="shared" si="11"/>
        <v>Bajo Sedentarismo</v>
      </c>
    </row>
    <row r="337" spans="1:15" x14ac:dyDescent="0.3">
      <c r="A337">
        <v>3977333714</v>
      </c>
      <c r="B337" s="1">
        <v>42374</v>
      </c>
      <c r="C337">
        <v>10414</v>
      </c>
      <c r="D337" s="2">
        <v>707000017166138</v>
      </c>
      <c r="E337" s="2">
        <v>267000007629395</v>
      </c>
      <c r="F337" s="2">
        <v>198000001907349</v>
      </c>
      <c r="G337" s="2">
        <v>241000008583069</v>
      </c>
      <c r="H337">
        <v>0</v>
      </c>
      <c r="I337">
        <v>41</v>
      </c>
      <c r="J337">
        <v>40</v>
      </c>
      <c r="K337">
        <v>124</v>
      </c>
      <c r="L337">
        <v>691</v>
      </c>
      <c r="M337">
        <v>1501</v>
      </c>
      <c r="N337" t="str">
        <f t="shared" si="10"/>
        <v>Alta Actividad</v>
      </c>
      <c r="O337" t="str">
        <f t="shared" si="11"/>
        <v>Bajo Sedentarismo</v>
      </c>
    </row>
    <row r="338" spans="1:15" x14ac:dyDescent="0.3">
      <c r="A338">
        <v>3977333714</v>
      </c>
      <c r="B338" s="1">
        <v>42405</v>
      </c>
      <c r="C338">
        <v>16520</v>
      </c>
      <c r="D338" s="2">
        <v>110500001907349</v>
      </c>
      <c r="E338" s="2">
        <v>153999996185303</v>
      </c>
      <c r="F338" s="2">
        <v>648000001907349</v>
      </c>
      <c r="G338" s="2">
        <v>301999998092651</v>
      </c>
      <c r="H338">
        <v>0</v>
      </c>
      <c r="I338">
        <v>24</v>
      </c>
      <c r="J338">
        <v>143</v>
      </c>
      <c r="K338">
        <v>176</v>
      </c>
      <c r="L338">
        <v>713</v>
      </c>
      <c r="M338">
        <v>1760</v>
      </c>
      <c r="N338" t="str">
        <f t="shared" si="10"/>
        <v>Alta Actividad</v>
      </c>
      <c r="O338" t="str">
        <f t="shared" si="11"/>
        <v>Alto Sedentarismo</v>
      </c>
    </row>
    <row r="339" spans="1:15" x14ac:dyDescent="0.3">
      <c r="A339">
        <v>3977333714</v>
      </c>
      <c r="B339" s="1">
        <v>42434</v>
      </c>
      <c r="C339">
        <v>14335</v>
      </c>
      <c r="D339" s="2">
        <v>959000015258789</v>
      </c>
      <c r="E339" s="2">
        <v>33199999332428</v>
      </c>
      <c r="F339" s="2">
        <v>174000000953674</v>
      </c>
      <c r="G339" s="2">
        <v>453000020980835</v>
      </c>
      <c r="H339">
        <v>0</v>
      </c>
      <c r="I339">
        <v>47</v>
      </c>
      <c r="J339">
        <v>41</v>
      </c>
      <c r="K339">
        <v>258</v>
      </c>
      <c r="L339">
        <v>594</v>
      </c>
      <c r="M339">
        <v>1710</v>
      </c>
      <c r="N339" t="str">
        <f t="shared" si="10"/>
        <v>Alta Actividad</v>
      </c>
      <c r="O339" t="str">
        <f t="shared" si="11"/>
        <v>Bajo Sedentarismo</v>
      </c>
    </row>
    <row r="340" spans="1:15" x14ac:dyDescent="0.3">
      <c r="A340">
        <v>3977333714</v>
      </c>
      <c r="B340" s="1">
        <v>42465</v>
      </c>
      <c r="C340">
        <v>13559</v>
      </c>
      <c r="D340" s="2">
        <v>94399995803833</v>
      </c>
      <c r="E340" s="2">
        <v>180999994277954</v>
      </c>
      <c r="F340" s="2">
        <v>457999992370605</v>
      </c>
      <c r="G340" s="2">
        <v>289000010490417</v>
      </c>
      <c r="H340">
        <v>0</v>
      </c>
      <c r="I340">
        <v>14</v>
      </c>
      <c r="J340">
        <v>96</v>
      </c>
      <c r="K340">
        <v>142</v>
      </c>
      <c r="L340">
        <v>852</v>
      </c>
      <c r="M340">
        <v>1628</v>
      </c>
      <c r="N340" t="str">
        <f t="shared" si="10"/>
        <v>Alta Actividad</v>
      </c>
      <c r="O340" t="str">
        <f t="shared" si="11"/>
        <v>Alto Sedentarismo</v>
      </c>
    </row>
    <row r="341" spans="1:15" x14ac:dyDescent="0.3">
      <c r="A341">
        <v>3977333714</v>
      </c>
      <c r="B341" s="1">
        <v>42495</v>
      </c>
      <c r="C341">
        <v>12312</v>
      </c>
      <c r="D341" s="2">
        <v>857999992370605</v>
      </c>
      <c r="E341" s="2">
        <v>175999999046326</v>
      </c>
      <c r="F341" s="2">
        <v>41100001335144</v>
      </c>
      <c r="G341" s="2">
        <v>271000003814697</v>
      </c>
      <c r="H341">
        <v>0</v>
      </c>
      <c r="I341">
        <v>14</v>
      </c>
      <c r="J341">
        <v>88</v>
      </c>
      <c r="K341">
        <v>178</v>
      </c>
      <c r="L341">
        <v>680</v>
      </c>
      <c r="M341">
        <v>1618</v>
      </c>
      <c r="N341" t="str">
        <f t="shared" si="10"/>
        <v>Alta Actividad</v>
      </c>
      <c r="O341" t="str">
        <f t="shared" si="11"/>
        <v>Bajo Sedentarismo</v>
      </c>
    </row>
    <row r="342" spans="1:15" x14ac:dyDescent="0.3">
      <c r="A342">
        <v>3977333714</v>
      </c>
      <c r="B342" s="1">
        <v>42526</v>
      </c>
      <c r="C342">
        <v>11677</v>
      </c>
      <c r="D342" s="2">
        <v>827999973297119</v>
      </c>
      <c r="E342" s="2">
        <v>310999989509583</v>
      </c>
      <c r="F342" s="2">
        <v>250999999046326</v>
      </c>
      <c r="G342" s="2">
        <v>267000007629395</v>
      </c>
      <c r="H342">
        <v>0</v>
      </c>
      <c r="I342">
        <v>29</v>
      </c>
      <c r="J342">
        <v>55</v>
      </c>
      <c r="K342">
        <v>168</v>
      </c>
      <c r="L342">
        <v>676</v>
      </c>
      <c r="M342">
        <v>1590</v>
      </c>
      <c r="N342" t="str">
        <f t="shared" si="10"/>
        <v>Alta Actividad</v>
      </c>
      <c r="O342" t="str">
        <f t="shared" si="11"/>
        <v>Bajo Sedentarismo</v>
      </c>
    </row>
    <row r="343" spans="1:15" x14ac:dyDescent="0.3">
      <c r="A343">
        <v>3977333714</v>
      </c>
      <c r="B343" s="1">
        <v>42556</v>
      </c>
      <c r="C343">
        <v>11550</v>
      </c>
      <c r="D343" s="2">
        <v>773000001907349</v>
      </c>
      <c r="E343">
        <v>0</v>
      </c>
      <c r="F343" s="2">
        <v>413000011444092</v>
      </c>
      <c r="G343" s="2">
        <v>358999991416931</v>
      </c>
      <c r="H343">
        <v>0</v>
      </c>
      <c r="I343">
        <v>0</v>
      </c>
      <c r="J343">
        <v>86</v>
      </c>
      <c r="K343">
        <v>208</v>
      </c>
      <c r="L343">
        <v>703</v>
      </c>
      <c r="M343">
        <v>1574</v>
      </c>
      <c r="N343" t="str">
        <f t="shared" si="10"/>
        <v>Alta Actividad</v>
      </c>
      <c r="O343" t="str">
        <f t="shared" si="11"/>
        <v>Alto Sedentarismo</v>
      </c>
    </row>
    <row r="344" spans="1:15" x14ac:dyDescent="0.3">
      <c r="A344">
        <v>3977333714</v>
      </c>
      <c r="B344" s="1">
        <v>42587</v>
      </c>
      <c r="C344">
        <v>13585</v>
      </c>
      <c r="D344" s="2">
        <v>909000015258789</v>
      </c>
      <c r="E344" t="s">
        <v>91</v>
      </c>
      <c r="F344" s="2">
        <v>523999977111816</v>
      </c>
      <c r="G344" s="2">
        <v>317000007629395</v>
      </c>
      <c r="H344">
        <v>0</v>
      </c>
      <c r="I344">
        <v>9</v>
      </c>
      <c r="J344">
        <v>116</v>
      </c>
      <c r="K344">
        <v>171</v>
      </c>
      <c r="L344">
        <v>688</v>
      </c>
      <c r="M344">
        <v>1633</v>
      </c>
      <c r="N344" t="str">
        <f t="shared" si="10"/>
        <v>Alta Actividad</v>
      </c>
      <c r="O344" t="str">
        <f t="shared" si="11"/>
        <v>Bajo Sedentarismo</v>
      </c>
    </row>
    <row r="345" spans="1:15" x14ac:dyDescent="0.3">
      <c r="A345">
        <v>3977333714</v>
      </c>
      <c r="B345" s="1">
        <v>42618</v>
      </c>
      <c r="C345">
        <v>14687</v>
      </c>
      <c r="D345" s="2">
        <v>100799999237061</v>
      </c>
      <c r="E345" t="s">
        <v>99</v>
      </c>
      <c r="F345" s="2">
        <v>559999990463257</v>
      </c>
      <c r="G345" s="2">
        <v>354999995231628</v>
      </c>
      <c r="H345">
        <v>0</v>
      </c>
      <c r="I345">
        <v>8</v>
      </c>
      <c r="J345">
        <v>122</v>
      </c>
      <c r="K345">
        <v>151</v>
      </c>
      <c r="L345">
        <v>1159</v>
      </c>
      <c r="M345">
        <v>1667</v>
      </c>
      <c r="N345" t="str">
        <f t="shared" si="10"/>
        <v>Alta Actividad</v>
      </c>
      <c r="O345" t="str">
        <f t="shared" si="11"/>
        <v>Alto Sedentarismo</v>
      </c>
    </row>
    <row r="346" spans="1:15" x14ac:dyDescent="0.3">
      <c r="A346">
        <v>3977333714</v>
      </c>
      <c r="B346" s="1">
        <v>42648</v>
      </c>
      <c r="C346">
        <v>13072</v>
      </c>
      <c r="D346" s="2">
        <v>877999973297119</v>
      </c>
      <c r="E346" t="s">
        <v>74</v>
      </c>
      <c r="F346" s="2">
        <v>540000009536743</v>
      </c>
      <c r="G346" s="2">
        <v>330999994277954</v>
      </c>
      <c r="H346">
        <v>0</v>
      </c>
      <c r="I346">
        <v>1</v>
      </c>
      <c r="J346">
        <v>115</v>
      </c>
      <c r="K346">
        <v>196</v>
      </c>
      <c r="L346">
        <v>676</v>
      </c>
      <c r="M346">
        <v>1630</v>
      </c>
      <c r="N346" t="str">
        <f t="shared" si="10"/>
        <v>Alta Actividad</v>
      </c>
      <c r="O346" t="str">
        <f t="shared" si="11"/>
        <v>Bajo Sedentarismo</v>
      </c>
    </row>
    <row r="347" spans="1:15" x14ac:dyDescent="0.3">
      <c r="A347">
        <v>3977333714</v>
      </c>
      <c r="B347" s="1">
        <v>42679</v>
      </c>
      <c r="C347">
        <v>746</v>
      </c>
      <c r="D347" t="s">
        <v>44</v>
      </c>
      <c r="E347" t="s">
        <v>117</v>
      </c>
      <c r="F347">
        <v>0</v>
      </c>
      <c r="G347" t="s">
        <v>86</v>
      </c>
      <c r="H347">
        <v>0</v>
      </c>
      <c r="I347">
        <v>4</v>
      </c>
      <c r="J347">
        <v>0</v>
      </c>
      <c r="K347">
        <v>9</v>
      </c>
      <c r="L347">
        <v>13</v>
      </c>
      <c r="M347">
        <v>52</v>
      </c>
      <c r="N347" t="str">
        <f t="shared" si="10"/>
        <v>Baja Actividad</v>
      </c>
      <c r="O347" t="str">
        <f t="shared" si="11"/>
        <v>Bajo Sedentarismo</v>
      </c>
    </row>
    <row r="348" spans="1:15" x14ac:dyDescent="0.3">
      <c r="A348">
        <v>4020332650</v>
      </c>
      <c r="B348" s="1">
        <v>42708</v>
      </c>
      <c r="C348">
        <v>8539</v>
      </c>
      <c r="D348" s="2">
        <v>611999988555908</v>
      </c>
      <c r="E348" t="s">
        <v>63</v>
      </c>
      <c r="F348" t="s">
        <v>72</v>
      </c>
      <c r="G348" s="2">
        <v>567999982833862</v>
      </c>
      <c r="H348">
        <v>0</v>
      </c>
      <c r="I348">
        <v>4</v>
      </c>
      <c r="J348">
        <v>15</v>
      </c>
      <c r="K348">
        <v>331</v>
      </c>
      <c r="L348">
        <v>712</v>
      </c>
      <c r="M348">
        <v>3654</v>
      </c>
      <c r="N348" t="str">
        <f t="shared" si="10"/>
        <v>Baja Actividad</v>
      </c>
      <c r="O348" t="str">
        <f t="shared" si="11"/>
        <v>Alto Sedentarismo</v>
      </c>
    </row>
    <row r="349" spans="1:15" x14ac:dyDescent="0.3">
      <c r="A349">
        <v>4020332650</v>
      </c>
      <c r="B349" t="s">
        <v>15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1440</v>
      </c>
      <c r="M349">
        <v>1981</v>
      </c>
      <c r="N349" t="str">
        <f t="shared" si="10"/>
        <v>Baja Actividad</v>
      </c>
      <c r="O349" t="str">
        <f t="shared" si="11"/>
        <v>Alto Sedentarismo</v>
      </c>
    </row>
    <row r="350" spans="1:15" x14ac:dyDescent="0.3">
      <c r="A350">
        <v>4020332650</v>
      </c>
      <c r="B350" t="s">
        <v>17</v>
      </c>
      <c r="C350">
        <v>108</v>
      </c>
      <c r="D350" t="s">
        <v>111</v>
      </c>
      <c r="E350">
        <v>0</v>
      </c>
      <c r="F350">
        <v>0</v>
      </c>
      <c r="G350" t="s">
        <v>88</v>
      </c>
      <c r="H350">
        <v>0</v>
      </c>
      <c r="I350">
        <v>0</v>
      </c>
      <c r="J350">
        <v>0</v>
      </c>
      <c r="K350">
        <v>3</v>
      </c>
      <c r="L350">
        <v>1437</v>
      </c>
      <c r="M350">
        <v>2011</v>
      </c>
      <c r="N350" t="str">
        <f t="shared" si="10"/>
        <v>Baja Actividad</v>
      </c>
      <c r="O350" t="str">
        <f t="shared" si="11"/>
        <v>Alto Sedentarismo</v>
      </c>
    </row>
    <row r="351" spans="1:15" x14ac:dyDescent="0.3">
      <c r="A351">
        <v>4020332650</v>
      </c>
      <c r="B351" t="s">
        <v>19</v>
      </c>
      <c r="C351">
        <v>1882</v>
      </c>
      <c r="D351" s="2">
        <v>135000002384186</v>
      </c>
      <c r="E351" t="s">
        <v>36</v>
      </c>
      <c r="F351" t="s">
        <v>61</v>
      </c>
      <c r="G351" t="s">
        <v>99</v>
      </c>
      <c r="H351">
        <v>0</v>
      </c>
      <c r="I351">
        <v>36</v>
      </c>
      <c r="J351">
        <v>18</v>
      </c>
      <c r="K351">
        <v>87</v>
      </c>
      <c r="L351">
        <v>1299</v>
      </c>
      <c r="M351">
        <v>2951</v>
      </c>
      <c r="N351" t="str">
        <f t="shared" si="10"/>
        <v>Baja Actividad</v>
      </c>
      <c r="O351" t="str">
        <f t="shared" si="11"/>
        <v>Alto Sedentarismo</v>
      </c>
    </row>
    <row r="352" spans="1:15" x14ac:dyDescent="0.3">
      <c r="A352">
        <v>4020332650</v>
      </c>
      <c r="B352" t="s">
        <v>20</v>
      </c>
      <c r="C352">
        <v>1982</v>
      </c>
      <c r="D352" s="2">
        <v>141999995708466</v>
      </c>
      <c r="E352" t="s">
        <v>130</v>
      </c>
      <c r="F352" t="s">
        <v>117</v>
      </c>
      <c r="G352" t="s">
        <v>59</v>
      </c>
      <c r="H352">
        <v>0</v>
      </c>
      <c r="I352">
        <v>65</v>
      </c>
      <c r="J352">
        <v>21</v>
      </c>
      <c r="K352">
        <v>55</v>
      </c>
      <c r="L352">
        <v>1222</v>
      </c>
      <c r="M352">
        <v>3051</v>
      </c>
      <c r="N352" t="str">
        <f t="shared" si="10"/>
        <v>Baja Actividad</v>
      </c>
      <c r="O352" t="str">
        <f t="shared" si="11"/>
        <v>Alto Sedentarismo</v>
      </c>
    </row>
    <row r="353" spans="1:15" x14ac:dyDescent="0.3">
      <c r="A353">
        <v>4020332650</v>
      </c>
      <c r="B353" t="s">
        <v>22</v>
      </c>
      <c r="C353">
        <v>16</v>
      </c>
      <c r="D353" t="s">
        <v>50</v>
      </c>
      <c r="E353">
        <v>0</v>
      </c>
      <c r="F353">
        <v>0</v>
      </c>
      <c r="G353" t="s">
        <v>50</v>
      </c>
      <c r="H353">
        <v>0</v>
      </c>
      <c r="I353">
        <v>0</v>
      </c>
      <c r="J353">
        <v>0</v>
      </c>
      <c r="K353">
        <v>2</v>
      </c>
      <c r="L353">
        <v>1438</v>
      </c>
      <c r="M353">
        <v>1990</v>
      </c>
      <c r="N353" t="str">
        <f t="shared" si="10"/>
        <v>Baja Actividad</v>
      </c>
      <c r="O353" t="str">
        <f t="shared" si="11"/>
        <v>Alto Sedentarismo</v>
      </c>
    </row>
    <row r="354" spans="1:15" x14ac:dyDescent="0.3">
      <c r="A354">
        <v>4020332650</v>
      </c>
      <c r="B354" t="s">
        <v>24</v>
      </c>
      <c r="C354">
        <v>62</v>
      </c>
      <c r="D354" t="s">
        <v>133</v>
      </c>
      <c r="E354">
        <v>0</v>
      </c>
      <c r="F354">
        <v>0</v>
      </c>
      <c r="G354" t="s">
        <v>133</v>
      </c>
      <c r="H354">
        <v>0</v>
      </c>
      <c r="I354">
        <v>0</v>
      </c>
      <c r="J354">
        <v>0</v>
      </c>
      <c r="K354">
        <v>2</v>
      </c>
      <c r="L354">
        <v>1438</v>
      </c>
      <c r="M354">
        <v>1995</v>
      </c>
      <c r="N354" t="str">
        <f t="shared" si="10"/>
        <v>Baja Actividad</v>
      </c>
      <c r="O354" t="str">
        <f t="shared" si="11"/>
        <v>Alto Sedentarismo</v>
      </c>
    </row>
    <row r="355" spans="1:15" x14ac:dyDescent="0.3">
      <c r="A355">
        <v>4020332650</v>
      </c>
      <c r="B355" t="s">
        <v>27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1440</v>
      </c>
      <c r="M355">
        <v>1980</v>
      </c>
      <c r="N355" t="str">
        <f t="shared" si="10"/>
        <v>Baja Actividad</v>
      </c>
      <c r="O355" t="str">
        <f t="shared" si="11"/>
        <v>Alto Sedentarismo</v>
      </c>
    </row>
    <row r="356" spans="1:15" x14ac:dyDescent="0.3">
      <c r="A356">
        <v>4020332650</v>
      </c>
      <c r="B356" t="s">
        <v>28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1440</v>
      </c>
      <c r="M356">
        <v>1980</v>
      </c>
      <c r="N356" t="str">
        <f t="shared" si="10"/>
        <v>Baja Actividad</v>
      </c>
      <c r="O356" t="str">
        <f t="shared" si="11"/>
        <v>Alto Sedentarismo</v>
      </c>
    </row>
    <row r="357" spans="1:15" x14ac:dyDescent="0.3">
      <c r="A357">
        <v>4020332650</v>
      </c>
      <c r="B357" t="s">
        <v>30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1440</v>
      </c>
      <c r="M357">
        <v>1980</v>
      </c>
      <c r="N357" t="str">
        <f t="shared" si="10"/>
        <v>Baja Actividad</v>
      </c>
      <c r="O357" t="str">
        <f t="shared" si="11"/>
        <v>Alto Sedentarismo</v>
      </c>
    </row>
    <row r="358" spans="1:15" x14ac:dyDescent="0.3">
      <c r="A358">
        <v>4020332650</v>
      </c>
      <c r="B358" t="s">
        <v>32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1440</v>
      </c>
      <c r="M358">
        <v>1980</v>
      </c>
      <c r="N358" t="str">
        <f t="shared" si="10"/>
        <v>Baja Actividad</v>
      </c>
      <c r="O358" t="str">
        <f t="shared" si="11"/>
        <v>Alto Sedentarismo</v>
      </c>
    </row>
    <row r="359" spans="1:15" x14ac:dyDescent="0.3">
      <c r="A359">
        <v>4020332650</v>
      </c>
      <c r="B359" t="s">
        <v>33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1440</v>
      </c>
      <c r="M359">
        <v>1980</v>
      </c>
      <c r="N359" t="str">
        <f t="shared" si="10"/>
        <v>Baja Actividad</v>
      </c>
      <c r="O359" t="str">
        <f t="shared" si="11"/>
        <v>Alto Sedentarismo</v>
      </c>
    </row>
    <row r="360" spans="1:15" x14ac:dyDescent="0.3">
      <c r="A360">
        <v>4020332650</v>
      </c>
      <c r="B360" t="s">
        <v>35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1440</v>
      </c>
      <c r="M360">
        <v>1980</v>
      </c>
      <c r="N360" t="str">
        <f t="shared" si="10"/>
        <v>Baja Actividad</v>
      </c>
      <c r="O360" t="str">
        <f t="shared" si="11"/>
        <v>Alto Sedentarismo</v>
      </c>
    </row>
    <row r="361" spans="1:15" x14ac:dyDescent="0.3">
      <c r="A361">
        <v>4020332650</v>
      </c>
      <c r="B361" t="s">
        <v>37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1440</v>
      </c>
      <c r="M361">
        <v>1980</v>
      </c>
      <c r="N361" t="str">
        <f t="shared" si="10"/>
        <v>Baja Actividad</v>
      </c>
      <c r="O361" t="str">
        <f t="shared" si="11"/>
        <v>Alto Sedentarismo</v>
      </c>
    </row>
    <row r="362" spans="1:15" x14ac:dyDescent="0.3">
      <c r="A362">
        <v>4020332650</v>
      </c>
      <c r="B362" t="s">
        <v>39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1440</v>
      </c>
      <c r="M362">
        <v>1980</v>
      </c>
      <c r="N362" t="str">
        <f t="shared" si="10"/>
        <v>Baja Actividad</v>
      </c>
      <c r="O362" t="str">
        <f t="shared" si="11"/>
        <v>Alto Sedentarismo</v>
      </c>
    </row>
    <row r="363" spans="1:15" x14ac:dyDescent="0.3">
      <c r="A363">
        <v>4020332650</v>
      </c>
      <c r="B363" t="s">
        <v>41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1440</v>
      </c>
      <c r="M363">
        <v>1980</v>
      </c>
      <c r="N363" t="str">
        <f t="shared" si="10"/>
        <v>Baja Actividad</v>
      </c>
      <c r="O363" t="str">
        <f t="shared" si="11"/>
        <v>Alto Sedentarismo</v>
      </c>
    </row>
    <row r="364" spans="1:15" x14ac:dyDescent="0.3">
      <c r="A364">
        <v>4020332650</v>
      </c>
      <c r="B364" t="s">
        <v>42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1440</v>
      </c>
      <c r="M364">
        <v>1980</v>
      </c>
      <c r="N364" t="str">
        <f t="shared" si="10"/>
        <v>Baja Actividad</v>
      </c>
      <c r="O364" t="str">
        <f t="shared" si="11"/>
        <v>Alto Sedentarismo</v>
      </c>
    </row>
    <row r="365" spans="1:15" x14ac:dyDescent="0.3">
      <c r="A365">
        <v>4020332650</v>
      </c>
      <c r="B365" t="s">
        <v>43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1440</v>
      </c>
      <c r="M365">
        <v>1980</v>
      </c>
      <c r="N365" t="str">
        <f t="shared" si="10"/>
        <v>Baja Actividad</v>
      </c>
      <c r="O365" t="str">
        <f t="shared" si="11"/>
        <v>Alto Sedentarismo</v>
      </c>
    </row>
    <row r="366" spans="1:15" x14ac:dyDescent="0.3">
      <c r="A366">
        <v>4020332650</v>
      </c>
      <c r="B366" t="s">
        <v>45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1440</v>
      </c>
      <c r="M366">
        <v>1980</v>
      </c>
      <c r="N366" t="str">
        <f t="shared" si="10"/>
        <v>Baja Actividad</v>
      </c>
      <c r="O366" t="str">
        <f t="shared" si="11"/>
        <v>Alto Sedentarismo</v>
      </c>
    </row>
    <row r="367" spans="1:15" x14ac:dyDescent="0.3">
      <c r="A367">
        <v>4020332650</v>
      </c>
      <c r="B367" s="1">
        <v>42374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1440</v>
      </c>
      <c r="M367">
        <v>1980</v>
      </c>
      <c r="N367" t="str">
        <f t="shared" si="10"/>
        <v>Baja Actividad</v>
      </c>
      <c r="O367" t="str">
        <f t="shared" si="11"/>
        <v>Alto Sedentarismo</v>
      </c>
    </row>
    <row r="368" spans="1:15" x14ac:dyDescent="0.3">
      <c r="A368">
        <v>4020332650</v>
      </c>
      <c r="B368" s="1">
        <v>42405</v>
      </c>
      <c r="C368">
        <v>475</v>
      </c>
      <c r="D368" t="s">
        <v>107</v>
      </c>
      <c r="E368">
        <v>0</v>
      </c>
      <c r="F368" t="s">
        <v>133</v>
      </c>
      <c r="G368" t="s">
        <v>131</v>
      </c>
      <c r="H368">
        <v>0</v>
      </c>
      <c r="I368">
        <v>0</v>
      </c>
      <c r="J368">
        <v>11</v>
      </c>
      <c r="K368">
        <v>31</v>
      </c>
      <c r="L368">
        <v>1350</v>
      </c>
      <c r="M368">
        <v>2207</v>
      </c>
      <c r="N368" t="str">
        <f t="shared" si="10"/>
        <v>Baja Actividad</v>
      </c>
      <c r="O368" t="str">
        <f t="shared" si="11"/>
        <v>Alto Sedentarismo</v>
      </c>
    </row>
    <row r="369" spans="1:15" x14ac:dyDescent="0.3">
      <c r="A369">
        <v>4020332650</v>
      </c>
      <c r="B369" s="1">
        <v>42434</v>
      </c>
      <c r="C369">
        <v>4496</v>
      </c>
      <c r="D369" s="2">
        <v>322000002861023</v>
      </c>
      <c r="E369">
        <v>0</v>
      </c>
      <c r="F369">
        <v>0</v>
      </c>
      <c r="G369" s="2">
        <v>315000009536743</v>
      </c>
      <c r="H369" t="s">
        <v>126</v>
      </c>
      <c r="I369">
        <v>0</v>
      </c>
      <c r="J369">
        <v>0</v>
      </c>
      <c r="K369">
        <v>174</v>
      </c>
      <c r="L369">
        <v>950</v>
      </c>
      <c r="M369">
        <v>2828</v>
      </c>
      <c r="N369" t="str">
        <f t="shared" si="10"/>
        <v>Baja Actividad</v>
      </c>
      <c r="O369" t="str">
        <f t="shared" si="11"/>
        <v>Alto Sedentarismo</v>
      </c>
    </row>
    <row r="370" spans="1:15" x14ac:dyDescent="0.3">
      <c r="A370">
        <v>4020332650</v>
      </c>
      <c r="B370" s="1">
        <v>42465</v>
      </c>
      <c r="C370">
        <v>10252</v>
      </c>
      <c r="D370" s="2">
        <v>734999990463257</v>
      </c>
      <c r="E370" t="s">
        <v>110</v>
      </c>
      <c r="F370" s="2">
        <v>103999996185303</v>
      </c>
      <c r="G370" s="2">
        <v>557999992370605</v>
      </c>
      <c r="H370">
        <v>0</v>
      </c>
      <c r="I370">
        <v>13</v>
      </c>
      <c r="J370">
        <v>46</v>
      </c>
      <c r="K370">
        <v>346</v>
      </c>
      <c r="L370">
        <v>531</v>
      </c>
      <c r="M370">
        <v>3879</v>
      </c>
      <c r="N370" t="str">
        <f t="shared" si="10"/>
        <v>Alta Actividad</v>
      </c>
      <c r="O370" t="str">
        <f t="shared" si="11"/>
        <v>Bajo Sedentarismo</v>
      </c>
    </row>
    <row r="371" spans="1:15" x14ac:dyDescent="0.3">
      <c r="A371">
        <v>4020332650</v>
      </c>
      <c r="B371" s="1">
        <v>42495</v>
      </c>
      <c r="C371">
        <v>11728</v>
      </c>
      <c r="D371" s="2">
        <v>843000030517578</v>
      </c>
      <c r="E371" s="2">
        <v>261999988555908</v>
      </c>
      <c r="F371" s="2">
        <v>167999994754791</v>
      </c>
      <c r="G371" s="2">
        <v>403999996185303</v>
      </c>
      <c r="H371" t="s">
        <v>74</v>
      </c>
      <c r="I371">
        <v>38</v>
      </c>
      <c r="J371">
        <v>42</v>
      </c>
      <c r="K371">
        <v>196</v>
      </c>
      <c r="L371">
        <v>916</v>
      </c>
      <c r="M371">
        <v>3429</v>
      </c>
      <c r="N371" t="str">
        <f t="shared" si="10"/>
        <v>Alta Actividad</v>
      </c>
      <c r="O371" t="str">
        <f t="shared" si="11"/>
        <v>Alto Sedentarismo</v>
      </c>
    </row>
    <row r="372" spans="1:15" x14ac:dyDescent="0.3">
      <c r="A372">
        <v>4020332650</v>
      </c>
      <c r="B372" s="1">
        <v>42526</v>
      </c>
      <c r="C372">
        <v>4369</v>
      </c>
      <c r="D372" s="2">
        <v>313000011444092</v>
      </c>
      <c r="E372">
        <v>0</v>
      </c>
      <c r="F372">
        <v>0</v>
      </c>
      <c r="G372" s="2">
        <v>309999990463257</v>
      </c>
      <c r="H372" t="s">
        <v>50</v>
      </c>
      <c r="I372">
        <v>0</v>
      </c>
      <c r="J372">
        <v>0</v>
      </c>
      <c r="K372">
        <v>177</v>
      </c>
      <c r="L372">
        <v>855</v>
      </c>
      <c r="M372">
        <v>2704</v>
      </c>
      <c r="N372" t="str">
        <f t="shared" si="10"/>
        <v>Baja Actividad</v>
      </c>
      <c r="O372" t="str">
        <f t="shared" si="11"/>
        <v>Alto Sedentarismo</v>
      </c>
    </row>
    <row r="373" spans="1:15" x14ac:dyDescent="0.3">
      <c r="A373">
        <v>4020332650</v>
      </c>
      <c r="B373" s="1">
        <v>42556</v>
      </c>
      <c r="C373">
        <v>6132</v>
      </c>
      <c r="D373" s="2">
        <v>440000009536743</v>
      </c>
      <c r="E373">
        <v>0</v>
      </c>
      <c r="F373">
        <v>0</v>
      </c>
      <c r="G373" s="2">
        <v>357999992370605</v>
      </c>
      <c r="H373">
        <v>0</v>
      </c>
      <c r="I373">
        <v>0</v>
      </c>
      <c r="J373">
        <v>0</v>
      </c>
      <c r="K373">
        <v>184</v>
      </c>
      <c r="L373">
        <v>1256</v>
      </c>
      <c r="M373">
        <v>2975</v>
      </c>
      <c r="N373" t="str">
        <f t="shared" si="10"/>
        <v>Baja Actividad</v>
      </c>
      <c r="O373" t="str">
        <f t="shared" si="11"/>
        <v>Alto Sedentarismo</v>
      </c>
    </row>
    <row r="374" spans="1:15" x14ac:dyDescent="0.3">
      <c r="A374">
        <v>4020332650</v>
      </c>
      <c r="B374" s="1">
        <v>42587</v>
      </c>
      <c r="C374">
        <v>5862</v>
      </c>
      <c r="D374" s="2">
        <v>419999980926514</v>
      </c>
      <c r="E374">
        <v>0</v>
      </c>
      <c r="F374">
        <v>0</v>
      </c>
      <c r="G374" s="2">
        <v>415000009536743</v>
      </c>
      <c r="H374">
        <v>0</v>
      </c>
      <c r="I374">
        <v>0</v>
      </c>
      <c r="J374">
        <v>0</v>
      </c>
      <c r="K374">
        <v>263</v>
      </c>
      <c r="L374">
        <v>775</v>
      </c>
      <c r="M374">
        <v>3089</v>
      </c>
      <c r="N374" t="str">
        <f t="shared" si="10"/>
        <v>Baja Actividad</v>
      </c>
      <c r="O374" t="str">
        <f t="shared" si="11"/>
        <v>Alto Sedentarismo</v>
      </c>
    </row>
    <row r="375" spans="1:15" x14ac:dyDescent="0.3">
      <c r="A375">
        <v>4020332650</v>
      </c>
      <c r="B375" s="1">
        <v>42618</v>
      </c>
      <c r="C375">
        <v>4556</v>
      </c>
      <c r="D375" s="2">
        <v>326999998092651</v>
      </c>
      <c r="E375" t="s">
        <v>56</v>
      </c>
      <c r="F375" t="s">
        <v>87</v>
      </c>
      <c r="G375" s="2">
        <v>294000005722046</v>
      </c>
      <c r="H375">
        <v>0</v>
      </c>
      <c r="I375">
        <v>3</v>
      </c>
      <c r="J375">
        <v>5</v>
      </c>
      <c r="K375">
        <v>173</v>
      </c>
      <c r="L375">
        <v>1225</v>
      </c>
      <c r="M375">
        <v>2785</v>
      </c>
      <c r="N375" t="str">
        <f t="shared" si="10"/>
        <v>Baja Actividad</v>
      </c>
      <c r="O375" t="str">
        <f t="shared" si="11"/>
        <v>Alto Sedentarismo</v>
      </c>
    </row>
    <row r="376" spans="1:15" x14ac:dyDescent="0.3">
      <c r="A376">
        <v>4020332650</v>
      </c>
      <c r="B376" s="1">
        <v>42648</v>
      </c>
      <c r="C376">
        <v>5546</v>
      </c>
      <c r="D376" s="2">
        <v>398000001907349</v>
      </c>
      <c r="E376">
        <v>0</v>
      </c>
      <c r="F376">
        <v>0</v>
      </c>
      <c r="G376" s="2">
        <v>386999988555908</v>
      </c>
      <c r="H376" t="s">
        <v>133</v>
      </c>
      <c r="I376">
        <v>0</v>
      </c>
      <c r="J376">
        <v>0</v>
      </c>
      <c r="K376">
        <v>206</v>
      </c>
      <c r="L376">
        <v>774</v>
      </c>
      <c r="M376">
        <v>2926</v>
      </c>
      <c r="N376" t="str">
        <f t="shared" si="10"/>
        <v>Baja Actividad</v>
      </c>
      <c r="O376" t="str">
        <f t="shared" si="11"/>
        <v>Alto Sedentarismo</v>
      </c>
    </row>
    <row r="377" spans="1:15" x14ac:dyDescent="0.3">
      <c r="A377">
        <v>4020332650</v>
      </c>
      <c r="B377" s="1">
        <v>42679</v>
      </c>
      <c r="C377">
        <v>3689</v>
      </c>
      <c r="D377" s="2">
        <v>265000009536743</v>
      </c>
      <c r="E377" t="s">
        <v>94</v>
      </c>
      <c r="F377" t="s">
        <v>92</v>
      </c>
      <c r="G377" s="2">
        <v>232999992370605</v>
      </c>
      <c r="H377">
        <v>0</v>
      </c>
      <c r="I377">
        <v>2</v>
      </c>
      <c r="J377">
        <v>8</v>
      </c>
      <c r="K377">
        <v>134</v>
      </c>
      <c r="L377">
        <v>1296</v>
      </c>
      <c r="M377">
        <v>2645</v>
      </c>
      <c r="N377" t="str">
        <f t="shared" si="10"/>
        <v>Baja Actividad</v>
      </c>
      <c r="O377" t="str">
        <f t="shared" si="11"/>
        <v>Alto Sedentarismo</v>
      </c>
    </row>
    <row r="378" spans="1:15" x14ac:dyDescent="0.3">
      <c r="A378">
        <v>4020332650</v>
      </c>
      <c r="B378" s="1">
        <v>42709</v>
      </c>
      <c r="C378">
        <v>590</v>
      </c>
      <c r="D378" t="s">
        <v>102</v>
      </c>
      <c r="E378">
        <v>0</v>
      </c>
      <c r="F378">
        <v>0</v>
      </c>
      <c r="G378" t="s">
        <v>21</v>
      </c>
      <c r="H378">
        <v>0</v>
      </c>
      <c r="I378">
        <v>0</v>
      </c>
      <c r="J378">
        <v>0</v>
      </c>
      <c r="K378">
        <v>21</v>
      </c>
      <c r="L378">
        <v>721</v>
      </c>
      <c r="M378">
        <v>1120</v>
      </c>
      <c r="N378" t="str">
        <f t="shared" si="10"/>
        <v>Baja Actividad</v>
      </c>
      <c r="O378" t="str">
        <f t="shared" si="11"/>
        <v>Alto Sedentarismo</v>
      </c>
    </row>
    <row r="379" spans="1:15" x14ac:dyDescent="0.3">
      <c r="A379">
        <v>4057192912</v>
      </c>
      <c r="B379" s="1">
        <v>42708</v>
      </c>
      <c r="C379">
        <v>5394</v>
      </c>
      <c r="D379" s="2">
        <v>403000020980835</v>
      </c>
      <c r="E379">
        <v>0</v>
      </c>
      <c r="F379">
        <v>0</v>
      </c>
      <c r="G379" s="2">
        <v>394000005722046</v>
      </c>
      <c r="H379">
        <v>0</v>
      </c>
      <c r="I379">
        <v>0</v>
      </c>
      <c r="J379">
        <v>0</v>
      </c>
      <c r="K379">
        <v>164</v>
      </c>
      <c r="L379">
        <v>1276</v>
      </c>
      <c r="M379">
        <v>2286</v>
      </c>
      <c r="N379" t="str">
        <f t="shared" si="10"/>
        <v>Baja Actividad</v>
      </c>
      <c r="O379" t="str">
        <f t="shared" si="11"/>
        <v>Alto Sedentarismo</v>
      </c>
    </row>
    <row r="380" spans="1:15" x14ac:dyDescent="0.3">
      <c r="A380">
        <v>4057192912</v>
      </c>
      <c r="B380" t="s">
        <v>15</v>
      </c>
      <c r="C380">
        <v>5974</v>
      </c>
      <c r="D380" s="2">
        <v>446999979019165</v>
      </c>
      <c r="E380">
        <v>0</v>
      </c>
      <c r="F380">
        <v>0</v>
      </c>
      <c r="G380" s="2">
        <v>436999988555908</v>
      </c>
      <c r="H380">
        <v>0</v>
      </c>
      <c r="I380">
        <v>0</v>
      </c>
      <c r="J380">
        <v>0</v>
      </c>
      <c r="K380">
        <v>160</v>
      </c>
      <c r="L380">
        <v>1280</v>
      </c>
      <c r="M380">
        <v>2306</v>
      </c>
      <c r="N380" t="str">
        <f t="shared" si="10"/>
        <v>Baja Actividad</v>
      </c>
      <c r="O380" t="str">
        <f t="shared" si="11"/>
        <v>Alto Sedentarismo</v>
      </c>
    </row>
    <row r="381" spans="1:15" x14ac:dyDescent="0.3">
      <c r="A381">
        <v>4057192912</v>
      </c>
      <c r="B381" t="s">
        <v>17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1440</v>
      </c>
      <c r="M381">
        <v>1776</v>
      </c>
      <c r="N381" t="str">
        <f t="shared" si="10"/>
        <v>Baja Actividad</v>
      </c>
      <c r="O381" t="str">
        <f t="shared" si="11"/>
        <v>Alto Sedentarismo</v>
      </c>
    </row>
    <row r="382" spans="1:15" x14ac:dyDescent="0.3">
      <c r="A382">
        <v>4057192912</v>
      </c>
      <c r="B382" t="s">
        <v>19</v>
      </c>
      <c r="C382">
        <v>3984</v>
      </c>
      <c r="D382" s="2">
        <v>295000004768372</v>
      </c>
      <c r="E382" t="s">
        <v>36</v>
      </c>
      <c r="F382" t="s">
        <v>85</v>
      </c>
      <c r="G382" s="2">
        <v>244000005722046</v>
      </c>
      <c r="H382">
        <v>0</v>
      </c>
      <c r="I382">
        <v>3</v>
      </c>
      <c r="J382">
        <v>6</v>
      </c>
      <c r="K382">
        <v>88</v>
      </c>
      <c r="L382">
        <v>873</v>
      </c>
      <c r="M382">
        <v>1527</v>
      </c>
      <c r="N382" t="str">
        <f t="shared" si="10"/>
        <v>Baja Actividad</v>
      </c>
      <c r="O382" t="str">
        <f t="shared" si="11"/>
        <v>Alto Sedentarismo</v>
      </c>
    </row>
    <row r="383" spans="1:15" x14ac:dyDescent="0.3">
      <c r="A383">
        <v>4319703577</v>
      </c>
      <c r="B383" s="1">
        <v>42708</v>
      </c>
      <c r="C383">
        <v>7753</v>
      </c>
      <c r="D383" s="2">
        <v>519999980926514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1440</v>
      </c>
      <c r="M383">
        <v>2115</v>
      </c>
      <c r="N383" t="str">
        <f t="shared" si="10"/>
        <v>Baja Actividad</v>
      </c>
      <c r="O383" t="str">
        <f t="shared" si="11"/>
        <v>Alto Sedentarismo</v>
      </c>
    </row>
    <row r="384" spans="1:15" x14ac:dyDescent="0.3">
      <c r="A384">
        <v>4319703577</v>
      </c>
      <c r="B384" t="s">
        <v>15</v>
      </c>
      <c r="C384">
        <v>8204</v>
      </c>
      <c r="D384" t="s">
        <v>103</v>
      </c>
      <c r="E384" t="s">
        <v>49</v>
      </c>
      <c r="F384" t="s">
        <v>59</v>
      </c>
      <c r="G384" s="2">
        <v>130999994277954</v>
      </c>
      <c r="H384">
        <v>0</v>
      </c>
      <c r="I384">
        <v>8</v>
      </c>
      <c r="J384">
        <v>15</v>
      </c>
      <c r="K384">
        <v>96</v>
      </c>
      <c r="L384">
        <v>1234</v>
      </c>
      <c r="M384">
        <v>2135</v>
      </c>
      <c r="N384" t="str">
        <f t="shared" si="10"/>
        <v>Baja Actividad</v>
      </c>
      <c r="O384" t="str">
        <f t="shared" si="11"/>
        <v>Alto Sedentarismo</v>
      </c>
    </row>
    <row r="385" spans="1:15" x14ac:dyDescent="0.3">
      <c r="A385">
        <v>4319703577</v>
      </c>
      <c r="B385" t="s">
        <v>17</v>
      </c>
      <c r="C385">
        <v>10210</v>
      </c>
      <c r="D385" s="2">
        <v>688000011444092</v>
      </c>
      <c r="E385" t="s">
        <v>94</v>
      </c>
      <c r="F385" t="s">
        <v>122</v>
      </c>
      <c r="G385" s="2">
        <v>644000005722046</v>
      </c>
      <c r="H385">
        <v>0</v>
      </c>
      <c r="I385">
        <v>1</v>
      </c>
      <c r="J385">
        <v>9</v>
      </c>
      <c r="K385">
        <v>339</v>
      </c>
      <c r="L385">
        <v>589</v>
      </c>
      <c r="M385">
        <v>2302</v>
      </c>
      <c r="N385" t="str">
        <f t="shared" si="10"/>
        <v>Alta Actividad</v>
      </c>
      <c r="O385" t="str">
        <f t="shared" si="11"/>
        <v>Bajo Sedentarismo</v>
      </c>
    </row>
    <row r="386" spans="1:15" x14ac:dyDescent="0.3">
      <c r="A386">
        <v>4319703577</v>
      </c>
      <c r="B386" t="s">
        <v>19</v>
      </c>
      <c r="C386">
        <v>5664</v>
      </c>
      <c r="D386" s="2">
        <v>379999995231628</v>
      </c>
      <c r="E386">
        <v>0</v>
      </c>
      <c r="F386">
        <v>0</v>
      </c>
      <c r="G386" s="2">
        <v>379999995231628</v>
      </c>
      <c r="H386">
        <v>0</v>
      </c>
      <c r="I386">
        <v>0</v>
      </c>
      <c r="J386">
        <v>0</v>
      </c>
      <c r="K386">
        <v>228</v>
      </c>
      <c r="L386">
        <v>752</v>
      </c>
      <c r="M386">
        <v>1985</v>
      </c>
      <c r="N386" t="str">
        <f t="shared" si="10"/>
        <v>Baja Actividad</v>
      </c>
      <c r="O386" t="str">
        <f t="shared" si="11"/>
        <v>Alto Sedentarismo</v>
      </c>
    </row>
    <row r="387" spans="1:15" x14ac:dyDescent="0.3">
      <c r="A387">
        <v>4319703577</v>
      </c>
      <c r="B387" t="s">
        <v>20</v>
      </c>
      <c r="C387">
        <v>4744</v>
      </c>
      <c r="D387" s="2">
        <v>31800000667572</v>
      </c>
      <c r="E387">
        <v>0</v>
      </c>
      <c r="F387">
        <v>0</v>
      </c>
      <c r="G387" s="2">
        <v>31800000667572</v>
      </c>
      <c r="H387">
        <v>0</v>
      </c>
      <c r="I387">
        <v>0</v>
      </c>
      <c r="J387">
        <v>0</v>
      </c>
      <c r="K387">
        <v>194</v>
      </c>
      <c r="L387">
        <v>724</v>
      </c>
      <c r="M387">
        <v>1884</v>
      </c>
      <c r="N387" t="str">
        <f t="shared" ref="N387:N450" si="12">IF(C387&gt;=10000, "Alta Actividad", "Baja Actividad")</f>
        <v>Baja Actividad</v>
      </c>
      <c r="O387" t="str">
        <f t="shared" ref="O387:O450" si="13">IF(L387&gt;=700, "Alto Sedentarismo",  "Bajo Sedentarismo")</f>
        <v>Alto Sedentarismo</v>
      </c>
    </row>
    <row r="388" spans="1:15" x14ac:dyDescent="0.3">
      <c r="A388">
        <v>4319703577</v>
      </c>
      <c r="B388" t="s">
        <v>22</v>
      </c>
      <c r="C388">
        <v>29</v>
      </c>
      <c r="D388" t="s">
        <v>54</v>
      </c>
      <c r="E388">
        <v>0</v>
      </c>
      <c r="F388">
        <v>0</v>
      </c>
      <c r="G388" t="s">
        <v>54</v>
      </c>
      <c r="H388">
        <v>0</v>
      </c>
      <c r="I388">
        <v>0</v>
      </c>
      <c r="J388">
        <v>0</v>
      </c>
      <c r="K388">
        <v>3</v>
      </c>
      <c r="L388">
        <v>1363</v>
      </c>
      <c r="M388">
        <v>1464</v>
      </c>
      <c r="N388" t="str">
        <f t="shared" si="12"/>
        <v>Baja Actividad</v>
      </c>
      <c r="O388" t="str">
        <f t="shared" si="13"/>
        <v>Alto Sedentarismo</v>
      </c>
    </row>
    <row r="389" spans="1:15" x14ac:dyDescent="0.3">
      <c r="A389">
        <v>4319703577</v>
      </c>
      <c r="B389" t="s">
        <v>24</v>
      </c>
      <c r="C389">
        <v>2276</v>
      </c>
      <c r="D389" s="2">
        <v>154999995231628</v>
      </c>
      <c r="E389" t="s">
        <v>74</v>
      </c>
      <c r="F389" t="s">
        <v>122</v>
      </c>
      <c r="G389" s="2">
        <v>112000000476837</v>
      </c>
      <c r="H389">
        <v>0</v>
      </c>
      <c r="I389">
        <v>1</v>
      </c>
      <c r="J389">
        <v>9</v>
      </c>
      <c r="K389">
        <v>58</v>
      </c>
      <c r="L389">
        <v>824</v>
      </c>
      <c r="M389">
        <v>1632</v>
      </c>
      <c r="N389" t="str">
        <f t="shared" si="12"/>
        <v>Baja Actividad</v>
      </c>
      <c r="O389" t="str">
        <f t="shared" si="13"/>
        <v>Alto Sedentarismo</v>
      </c>
    </row>
    <row r="390" spans="1:15" x14ac:dyDescent="0.3">
      <c r="A390">
        <v>4319703577</v>
      </c>
      <c r="B390" t="s">
        <v>27</v>
      </c>
      <c r="C390">
        <v>8925</v>
      </c>
      <c r="D390" s="2">
        <v>598999977111816</v>
      </c>
      <c r="E390">
        <v>0</v>
      </c>
      <c r="F390">
        <v>0</v>
      </c>
      <c r="G390" s="2">
        <v>598999977111816</v>
      </c>
      <c r="H390">
        <v>0</v>
      </c>
      <c r="I390">
        <v>0</v>
      </c>
      <c r="J390">
        <v>0</v>
      </c>
      <c r="K390">
        <v>311</v>
      </c>
      <c r="L390">
        <v>604</v>
      </c>
      <c r="M390">
        <v>2200</v>
      </c>
      <c r="N390" t="str">
        <f t="shared" si="12"/>
        <v>Baja Actividad</v>
      </c>
      <c r="O390" t="str">
        <f t="shared" si="13"/>
        <v>Bajo Sedentarismo</v>
      </c>
    </row>
    <row r="391" spans="1:15" x14ac:dyDescent="0.3">
      <c r="A391">
        <v>4319703577</v>
      </c>
      <c r="B391" t="s">
        <v>28</v>
      </c>
      <c r="C391">
        <v>8954</v>
      </c>
      <c r="D391" s="2">
        <v>601000022888184</v>
      </c>
      <c r="E391">
        <v>0</v>
      </c>
      <c r="F391" t="s">
        <v>91</v>
      </c>
      <c r="G391" s="2">
        <v>530999994277954</v>
      </c>
      <c r="H391">
        <v>0</v>
      </c>
      <c r="I391">
        <v>0</v>
      </c>
      <c r="J391">
        <v>18</v>
      </c>
      <c r="K391">
        <v>306</v>
      </c>
      <c r="L391">
        <v>671</v>
      </c>
      <c r="M391">
        <v>2220</v>
      </c>
      <c r="N391" t="str">
        <f t="shared" si="12"/>
        <v>Baja Actividad</v>
      </c>
      <c r="O391" t="str">
        <f t="shared" si="13"/>
        <v>Bajo Sedentarismo</v>
      </c>
    </row>
    <row r="392" spans="1:15" x14ac:dyDescent="0.3">
      <c r="A392">
        <v>4319703577</v>
      </c>
      <c r="B392" t="s">
        <v>30</v>
      </c>
      <c r="C392">
        <v>3702</v>
      </c>
      <c r="D392" s="2">
        <v>248000001907349</v>
      </c>
      <c r="E392">
        <v>0</v>
      </c>
      <c r="F392">
        <v>0</v>
      </c>
      <c r="G392" t="s">
        <v>31</v>
      </c>
      <c r="H392">
        <v>0</v>
      </c>
      <c r="I392">
        <v>0</v>
      </c>
      <c r="J392">
        <v>0</v>
      </c>
      <c r="K392">
        <v>34</v>
      </c>
      <c r="L392">
        <v>1265</v>
      </c>
      <c r="M392">
        <v>1792</v>
      </c>
      <c r="N392" t="str">
        <f t="shared" si="12"/>
        <v>Baja Actividad</v>
      </c>
      <c r="O392" t="str">
        <f t="shared" si="13"/>
        <v>Alto Sedentarismo</v>
      </c>
    </row>
    <row r="393" spans="1:15" x14ac:dyDescent="0.3">
      <c r="A393">
        <v>4319703577</v>
      </c>
      <c r="B393" t="s">
        <v>32</v>
      </c>
      <c r="C393">
        <v>4500</v>
      </c>
      <c r="D393" s="2">
        <v>301999998092651</v>
      </c>
      <c r="E393" t="s">
        <v>69</v>
      </c>
      <c r="F393" t="s">
        <v>82</v>
      </c>
      <c r="G393" s="2">
        <v>215000009536743</v>
      </c>
      <c r="H393">
        <v>0</v>
      </c>
      <c r="I393">
        <v>1</v>
      </c>
      <c r="J393">
        <v>19</v>
      </c>
      <c r="K393">
        <v>176</v>
      </c>
      <c r="L393">
        <v>709</v>
      </c>
      <c r="M393">
        <v>1886</v>
      </c>
      <c r="N393" t="str">
        <f t="shared" si="12"/>
        <v>Baja Actividad</v>
      </c>
      <c r="O393" t="str">
        <f t="shared" si="13"/>
        <v>Alto Sedentarismo</v>
      </c>
    </row>
    <row r="394" spans="1:15" x14ac:dyDescent="0.3">
      <c r="A394">
        <v>4319703577</v>
      </c>
      <c r="B394" t="s">
        <v>33</v>
      </c>
      <c r="C394">
        <v>4935</v>
      </c>
      <c r="D394" s="2">
        <v>330999994277954</v>
      </c>
      <c r="E394">
        <v>0</v>
      </c>
      <c r="F394">
        <v>0</v>
      </c>
      <c r="G394" s="2">
        <v>330999994277954</v>
      </c>
      <c r="H394">
        <v>0</v>
      </c>
      <c r="I394">
        <v>0</v>
      </c>
      <c r="J394">
        <v>0</v>
      </c>
      <c r="K394">
        <v>233</v>
      </c>
      <c r="L394">
        <v>546</v>
      </c>
      <c r="M394">
        <v>1945</v>
      </c>
      <c r="N394" t="str">
        <f t="shared" si="12"/>
        <v>Baja Actividad</v>
      </c>
      <c r="O394" t="str">
        <f t="shared" si="13"/>
        <v>Bajo Sedentarismo</v>
      </c>
    </row>
    <row r="395" spans="1:15" x14ac:dyDescent="0.3">
      <c r="A395">
        <v>4319703577</v>
      </c>
      <c r="B395" t="s">
        <v>35</v>
      </c>
      <c r="C395">
        <v>4081</v>
      </c>
      <c r="D395" s="2">
        <v>274000000953674</v>
      </c>
      <c r="E395" t="s">
        <v>69</v>
      </c>
      <c r="F395" t="s">
        <v>56</v>
      </c>
      <c r="G395" s="2">
        <v>247000002861023</v>
      </c>
      <c r="H395">
        <v>0</v>
      </c>
      <c r="I395">
        <v>1</v>
      </c>
      <c r="J395">
        <v>5</v>
      </c>
      <c r="K395">
        <v>191</v>
      </c>
      <c r="L395">
        <v>692</v>
      </c>
      <c r="M395">
        <v>1880</v>
      </c>
      <c r="N395" t="str">
        <f t="shared" si="12"/>
        <v>Baja Actividad</v>
      </c>
      <c r="O395" t="str">
        <f t="shared" si="13"/>
        <v>Bajo Sedentarismo</v>
      </c>
    </row>
    <row r="396" spans="1:15" x14ac:dyDescent="0.3">
      <c r="A396">
        <v>4319703577</v>
      </c>
      <c r="B396" t="s">
        <v>37</v>
      </c>
      <c r="C396">
        <v>9259</v>
      </c>
      <c r="D396" s="2">
        <v>621000003814697</v>
      </c>
      <c r="E396">
        <v>0</v>
      </c>
      <c r="F396" t="s">
        <v>119</v>
      </c>
      <c r="G396" s="2">
        <v>592999982833862</v>
      </c>
      <c r="H396">
        <v>0</v>
      </c>
      <c r="I396">
        <v>0</v>
      </c>
      <c r="J396">
        <v>8</v>
      </c>
      <c r="K396">
        <v>390</v>
      </c>
      <c r="L396">
        <v>544</v>
      </c>
      <c r="M396">
        <v>2314</v>
      </c>
      <c r="N396" t="str">
        <f t="shared" si="12"/>
        <v>Baja Actividad</v>
      </c>
      <c r="O396" t="str">
        <f t="shared" si="13"/>
        <v>Bajo Sedentarismo</v>
      </c>
    </row>
    <row r="397" spans="1:15" x14ac:dyDescent="0.3">
      <c r="A397">
        <v>4319703577</v>
      </c>
      <c r="B397" t="s">
        <v>39</v>
      </c>
      <c r="C397">
        <v>9899</v>
      </c>
      <c r="D397" s="2">
        <v>66399998664856</v>
      </c>
      <c r="E397" t="s">
        <v>38</v>
      </c>
      <c r="F397" t="s">
        <v>40</v>
      </c>
      <c r="G397" s="2">
        <v>515000009536743</v>
      </c>
      <c r="H397">
        <v>0</v>
      </c>
      <c r="I397">
        <v>8</v>
      </c>
      <c r="J397">
        <v>21</v>
      </c>
      <c r="K397">
        <v>288</v>
      </c>
      <c r="L397">
        <v>649</v>
      </c>
      <c r="M397">
        <v>2236</v>
      </c>
      <c r="N397" t="str">
        <f t="shared" si="12"/>
        <v>Baja Actividad</v>
      </c>
      <c r="O397" t="str">
        <f t="shared" si="13"/>
        <v>Bajo Sedentarismo</v>
      </c>
    </row>
    <row r="398" spans="1:15" x14ac:dyDescent="0.3">
      <c r="A398">
        <v>4319703577</v>
      </c>
      <c r="B398" t="s">
        <v>41</v>
      </c>
      <c r="C398">
        <v>10780</v>
      </c>
      <c r="D398" s="2">
        <v>723000001907349</v>
      </c>
      <c r="E398" t="s">
        <v>21</v>
      </c>
      <c r="F398" s="2">
        <v>191999995708466</v>
      </c>
      <c r="G398" s="2">
        <v>490999984741211</v>
      </c>
      <c r="H398">
        <v>0</v>
      </c>
      <c r="I398">
        <v>6</v>
      </c>
      <c r="J398">
        <v>47</v>
      </c>
      <c r="K398">
        <v>300</v>
      </c>
      <c r="L398">
        <v>680</v>
      </c>
      <c r="M398">
        <v>2324</v>
      </c>
      <c r="N398" t="str">
        <f t="shared" si="12"/>
        <v>Alta Actividad</v>
      </c>
      <c r="O398" t="str">
        <f t="shared" si="13"/>
        <v>Bajo Sedentarismo</v>
      </c>
    </row>
    <row r="399" spans="1:15" x14ac:dyDescent="0.3">
      <c r="A399">
        <v>4319703577</v>
      </c>
      <c r="B399" t="s">
        <v>42</v>
      </c>
      <c r="C399">
        <v>10817</v>
      </c>
      <c r="D399" s="2">
        <v>728000020980835</v>
      </c>
      <c r="E399" s="2">
        <v>100999999046326</v>
      </c>
      <c r="F399" t="s">
        <v>122</v>
      </c>
      <c r="G399" s="2">
        <v>594000005722046</v>
      </c>
      <c r="H399">
        <v>0</v>
      </c>
      <c r="I399">
        <v>13</v>
      </c>
      <c r="J399">
        <v>8</v>
      </c>
      <c r="K399">
        <v>359</v>
      </c>
      <c r="L399">
        <v>552</v>
      </c>
      <c r="M399">
        <v>2367</v>
      </c>
      <c r="N399" t="str">
        <f t="shared" si="12"/>
        <v>Alta Actividad</v>
      </c>
      <c r="O399" t="str">
        <f t="shared" si="13"/>
        <v>Bajo Sedentarismo</v>
      </c>
    </row>
    <row r="400" spans="1:15" x14ac:dyDescent="0.3">
      <c r="A400">
        <v>4319703577</v>
      </c>
      <c r="B400" t="s">
        <v>43</v>
      </c>
      <c r="C400">
        <v>7990</v>
      </c>
      <c r="D400" s="2">
        <v>53600001335144</v>
      </c>
      <c r="E400" t="s">
        <v>130</v>
      </c>
      <c r="F400" t="s">
        <v>81</v>
      </c>
      <c r="G400" s="2">
        <v>411999988555908</v>
      </c>
      <c r="H400">
        <v>0</v>
      </c>
      <c r="I400">
        <v>6</v>
      </c>
      <c r="J400">
        <v>18</v>
      </c>
      <c r="K400">
        <v>289</v>
      </c>
      <c r="L400">
        <v>624</v>
      </c>
      <c r="M400">
        <v>2175</v>
      </c>
      <c r="N400" t="str">
        <f t="shared" si="12"/>
        <v>Baja Actividad</v>
      </c>
      <c r="O400" t="str">
        <f t="shared" si="13"/>
        <v>Bajo Sedentarismo</v>
      </c>
    </row>
    <row r="401" spans="1:15" x14ac:dyDescent="0.3">
      <c r="A401">
        <v>4319703577</v>
      </c>
      <c r="B401" t="s">
        <v>45</v>
      </c>
      <c r="C401">
        <v>8221</v>
      </c>
      <c r="D401" s="2">
        <v>551999998092651</v>
      </c>
      <c r="E401" t="s">
        <v>18</v>
      </c>
      <c r="F401" s="2">
        <v>161000001430511</v>
      </c>
      <c r="G401" s="2">
        <v>350999999046326</v>
      </c>
      <c r="H401">
        <v>0</v>
      </c>
      <c r="I401">
        <v>6</v>
      </c>
      <c r="J401">
        <v>38</v>
      </c>
      <c r="K401">
        <v>196</v>
      </c>
      <c r="L401">
        <v>695</v>
      </c>
      <c r="M401">
        <v>2092</v>
      </c>
      <c r="N401" t="str">
        <f t="shared" si="12"/>
        <v>Baja Actividad</v>
      </c>
      <c r="O401" t="str">
        <f t="shared" si="13"/>
        <v>Bajo Sedentarismo</v>
      </c>
    </row>
    <row r="402" spans="1:15" x14ac:dyDescent="0.3">
      <c r="A402">
        <v>4319703577</v>
      </c>
      <c r="B402" s="1">
        <v>42374</v>
      </c>
      <c r="C402">
        <v>1251</v>
      </c>
      <c r="D402" t="s">
        <v>124</v>
      </c>
      <c r="E402">
        <v>0</v>
      </c>
      <c r="F402">
        <v>0</v>
      </c>
      <c r="G402" t="s">
        <v>124</v>
      </c>
      <c r="H402">
        <v>0</v>
      </c>
      <c r="I402">
        <v>0</v>
      </c>
      <c r="J402">
        <v>0</v>
      </c>
      <c r="K402">
        <v>67</v>
      </c>
      <c r="L402">
        <v>836</v>
      </c>
      <c r="M402">
        <v>1593</v>
      </c>
      <c r="N402" t="str">
        <f t="shared" si="12"/>
        <v>Baja Actividad</v>
      </c>
      <c r="O402" t="str">
        <f t="shared" si="13"/>
        <v>Alto Sedentarismo</v>
      </c>
    </row>
    <row r="403" spans="1:15" x14ac:dyDescent="0.3">
      <c r="A403">
        <v>4319703577</v>
      </c>
      <c r="B403" s="1">
        <v>42405</v>
      </c>
      <c r="C403">
        <v>9261</v>
      </c>
      <c r="D403" s="2">
        <v>623999977111816</v>
      </c>
      <c r="E403">
        <v>0</v>
      </c>
      <c r="F403" t="s">
        <v>134</v>
      </c>
      <c r="G403" s="2">
        <v>571000003814697</v>
      </c>
      <c r="H403">
        <v>0</v>
      </c>
      <c r="I403">
        <v>0</v>
      </c>
      <c r="J403">
        <v>11</v>
      </c>
      <c r="K403">
        <v>344</v>
      </c>
      <c r="L403">
        <v>585</v>
      </c>
      <c r="M403">
        <v>2270</v>
      </c>
      <c r="N403" t="str">
        <f t="shared" si="12"/>
        <v>Baja Actividad</v>
      </c>
      <c r="O403" t="str">
        <f t="shared" si="13"/>
        <v>Bajo Sedentarismo</v>
      </c>
    </row>
    <row r="404" spans="1:15" x14ac:dyDescent="0.3">
      <c r="A404">
        <v>4319703577</v>
      </c>
      <c r="B404" s="1">
        <v>42434</v>
      </c>
      <c r="C404">
        <v>9648</v>
      </c>
      <c r="D404" s="2">
        <v>646999979019165</v>
      </c>
      <c r="E404" t="s">
        <v>67</v>
      </c>
      <c r="F404" s="2">
        <v>107000005245209</v>
      </c>
      <c r="G404" s="2">
        <v>482999992370605</v>
      </c>
      <c r="H404">
        <v>0</v>
      </c>
      <c r="I404">
        <v>8</v>
      </c>
      <c r="J404">
        <v>26</v>
      </c>
      <c r="K404">
        <v>287</v>
      </c>
      <c r="L404">
        <v>669</v>
      </c>
      <c r="M404">
        <v>2235</v>
      </c>
      <c r="N404" t="str">
        <f t="shared" si="12"/>
        <v>Baja Actividad</v>
      </c>
      <c r="O404" t="str">
        <f t="shared" si="13"/>
        <v>Bajo Sedentarismo</v>
      </c>
    </row>
    <row r="405" spans="1:15" x14ac:dyDescent="0.3">
      <c r="A405">
        <v>4319703577</v>
      </c>
      <c r="B405" s="1">
        <v>42465</v>
      </c>
      <c r="C405">
        <v>10429</v>
      </c>
      <c r="D405" s="2">
        <v>701999998092651</v>
      </c>
      <c r="E405" t="s">
        <v>59</v>
      </c>
      <c r="F405" t="s">
        <v>67</v>
      </c>
      <c r="G405" s="2">
        <v>584999990463257</v>
      </c>
      <c r="H405">
        <v>0</v>
      </c>
      <c r="I405">
        <v>8</v>
      </c>
      <c r="J405">
        <v>13</v>
      </c>
      <c r="K405">
        <v>313</v>
      </c>
      <c r="L405">
        <v>1106</v>
      </c>
      <c r="M405">
        <v>2282</v>
      </c>
      <c r="N405" t="str">
        <f t="shared" si="12"/>
        <v>Alta Actividad</v>
      </c>
      <c r="O405" t="str">
        <f t="shared" si="13"/>
        <v>Alto Sedentarismo</v>
      </c>
    </row>
    <row r="406" spans="1:15" x14ac:dyDescent="0.3">
      <c r="A406">
        <v>4319703577</v>
      </c>
      <c r="B406" s="1">
        <v>42495</v>
      </c>
      <c r="C406">
        <v>13658</v>
      </c>
      <c r="D406" s="2">
        <v>948999977111816</v>
      </c>
      <c r="E406" s="2">
        <v>263000011444092</v>
      </c>
      <c r="F406" s="2">
        <v>14099999666214</v>
      </c>
      <c r="G406" s="2">
        <v>544999980926514</v>
      </c>
      <c r="H406">
        <v>0</v>
      </c>
      <c r="I406">
        <v>27</v>
      </c>
      <c r="J406">
        <v>34</v>
      </c>
      <c r="K406">
        <v>328</v>
      </c>
      <c r="L406">
        <v>957</v>
      </c>
      <c r="M406">
        <v>2530</v>
      </c>
      <c r="N406" t="str">
        <f t="shared" si="12"/>
        <v>Alta Actividad</v>
      </c>
      <c r="O406" t="str">
        <f t="shared" si="13"/>
        <v>Alto Sedentarismo</v>
      </c>
    </row>
    <row r="407" spans="1:15" x14ac:dyDescent="0.3">
      <c r="A407">
        <v>4319703577</v>
      </c>
      <c r="B407" s="1">
        <v>42526</v>
      </c>
      <c r="C407">
        <v>9524</v>
      </c>
      <c r="D407" s="2">
        <v>642000007629395</v>
      </c>
      <c r="E407" t="s">
        <v>21</v>
      </c>
      <c r="F407" t="s">
        <v>89</v>
      </c>
      <c r="G407" s="2">
        <v>546000003814697</v>
      </c>
      <c r="H407">
        <v>0</v>
      </c>
      <c r="I407">
        <v>6</v>
      </c>
      <c r="J407">
        <v>11</v>
      </c>
      <c r="K407">
        <v>314</v>
      </c>
      <c r="L407">
        <v>692</v>
      </c>
      <c r="M407">
        <v>2266</v>
      </c>
      <c r="N407" t="str">
        <f t="shared" si="12"/>
        <v>Baja Actividad</v>
      </c>
      <c r="O407" t="str">
        <f t="shared" si="13"/>
        <v>Bajo Sedentarismo</v>
      </c>
    </row>
    <row r="408" spans="1:15" x14ac:dyDescent="0.3">
      <c r="A408">
        <v>4319703577</v>
      </c>
      <c r="B408" s="1">
        <v>42556</v>
      </c>
      <c r="C408">
        <v>7937</v>
      </c>
      <c r="D408" s="2">
        <v>532999992370605</v>
      </c>
      <c r="E408" t="s">
        <v>112</v>
      </c>
      <c r="F408" s="2">
        <v>104999995231628</v>
      </c>
      <c r="G408" s="2">
        <v>407999992370605</v>
      </c>
      <c r="H408">
        <v>0</v>
      </c>
      <c r="I408">
        <v>3</v>
      </c>
      <c r="J408">
        <v>28</v>
      </c>
      <c r="K408">
        <v>279</v>
      </c>
      <c r="L408">
        <v>586</v>
      </c>
      <c r="M408">
        <v>2158</v>
      </c>
      <c r="N408" t="str">
        <f t="shared" si="12"/>
        <v>Baja Actividad</v>
      </c>
      <c r="O408" t="str">
        <f t="shared" si="13"/>
        <v>Bajo Sedentarismo</v>
      </c>
    </row>
    <row r="409" spans="1:15" x14ac:dyDescent="0.3">
      <c r="A409">
        <v>4319703577</v>
      </c>
      <c r="B409" s="1">
        <v>42587</v>
      </c>
      <c r="C409">
        <v>3672</v>
      </c>
      <c r="D409" s="2">
        <v>246000003814697</v>
      </c>
      <c r="E409">
        <v>0</v>
      </c>
      <c r="F409">
        <v>0</v>
      </c>
      <c r="G409" s="2">
        <v>246000003814697</v>
      </c>
      <c r="H409">
        <v>0</v>
      </c>
      <c r="I409">
        <v>0</v>
      </c>
      <c r="J409">
        <v>0</v>
      </c>
      <c r="K409">
        <v>153</v>
      </c>
      <c r="L409">
        <v>603</v>
      </c>
      <c r="M409">
        <v>1792</v>
      </c>
      <c r="N409" t="str">
        <f t="shared" si="12"/>
        <v>Baja Actividad</v>
      </c>
      <c r="O409" t="str">
        <f t="shared" si="13"/>
        <v>Bajo Sedentarismo</v>
      </c>
    </row>
    <row r="410" spans="1:15" x14ac:dyDescent="0.3">
      <c r="A410">
        <v>4319703577</v>
      </c>
      <c r="B410" s="1">
        <v>42618</v>
      </c>
      <c r="C410">
        <v>10378</v>
      </c>
      <c r="D410" s="2">
        <v>696000003814697</v>
      </c>
      <c r="E410" t="s">
        <v>60</v>
      </c>
      <c r="F410" t="s">
        <v>121</v>
      </c>
      <c r="G410" t="s">
        <v>135</v>
      </c>
      <c r="H410">
        <v>0</v>
      </c>
      <c r="I410">
        <v>2</v>
      </c>
      <c r="J410">
        <v>14</v>
      </c>
      <c r="K410">
        <v>374</v>
      </c>
      <c r="L410">
        <v>490</v>
      </c>
      <c r="M410">
        <v>2345</v>
      </c>
      <c r="N410" t="str">
        <f t="shared" si="12"/>
        <v>Alta Actividad</v>
      </c>
      <c r="O410" t="str">
        <f t="shared" si="13"/>
        <v>Bajo Sedentarismo</v>
      </c>
    </row>
    <row r="411" spans="1:15" x14ac:dyDescent="0.3">
      <c r="A411">
        <v>4319703577</v>
      </c>
      <c r="B411" s="1">
        <v>42648</v>
      </c>
      <c r="C411">
        <v>9487</v>
      </c>
      <c r="D411" s="2">
        <v>636999988555908</v>
      </c>
      <c r="E411" t="s">
        <v>36</v>
      </c>
      <c r="F411" t="s">
        <v>108</v>
      </c>
      <c r="G411" s="2">
        <v>569999980926514</v>
      </c>
      <c r="H411">
        <v>0</v>
      </c>
      <c r="I411">
        <v>3</v>
      </c>
      <c r="J411">
        <v>12</v>
      </c>
      <c r="K411">
        <v>329</v>
      </c>
      <c r="L411">
        <v>555</v>
      </c>
      <c r="M411">
        <v>2260</v>
      </c>
      <c r="N411" t="str">
        <f t="shared" si="12"/>
        <v>Baja Actividad</v>
      </c>
      <c r="O411" t="str">
        <f t="shared" si="13"/>
        <v>Bajo Sedentarismo</v>
      </c>
    </row>
    <row r="412" spans="1:15" x14ac:dyDescent="0.3">
      <c r="A412">
        <v>4319703577</v>
      </c>
      <c r="B412" s="1">
        <v>42679</v>
      </c>
      <c r="C412">
        <v>9129</v>
      </c>
      <c r="D412" s="2">
        <v>613000011444092</v>
      </c>
      <c r="E412" t="s">
        <v>56</v>
      </c>
      <c r="F412" t="s">
        <v>136</v>
      </c>
      <c r="G412" s="2">
        <v>517999982833862</v>
      </c>
      <c r="H412">
        <v>0</v>
      </c>
      <c r="I412">
        <v>3</v>
      </c>
      <c r="J412">
        <v>18</v>
      </c>
      <c r="K412">
        <v>311</v>
      </c>
      <c r="L412">
        <v>574</v>
      </c>
      <c r="M412">
        <v>2232</v>
      </c>
      <c r="N412" t="str">
        <f t="shared" si="12"/>
        <v>Baja Actividad</v>
      </c>
      <c r="O412" t="str">
        <f t="shared" si="13"/>
        <v>Bajo Sedentarismo</v>
      </c>
    </row>
    <row r="413" spans="1:15" x14ac:dyDescent="0.3">
      <c r="A413">
        <v>4319703577</v>
      </c>
      <c r="B413" s="1">
        <v>42709</v>
      </c>
      <c r="C413">
        <v>17</v>
      </c>
      <c r="D413" t="s">
        <v>50</v>
      </c>
      <c r="E413">
        <v>0</v>
      </c>
      <c r="F413">
        <v>0</v>
      </c>
      <c r="G413" t="s">
        <v>50</v>
      </c>
      <c r="H413">
        <v>0</v>
      </c>
      <c r="I413">
        <v>0</v>
      </c>
      <c r="J413">
        <v>0</v>
      </c>
      <c r="K413">
        <v>2</v>
      </c>
      <c r="L413">
        <v>0</v>
      </c>
      <c r="M413">
        <v>257</v>
      </c>
      <c r="N413" t="str">
        <f t="shared" si="12"/>
        <v>Baja Actividad</v>
      </c>
      <c r="O413" t="str">
        <f t="shared" si="13"/>
        <v>Bajo Sedentarismo</v>
      </c>
    </row>
    <row r="414" spans="1:15" x14ac:dyDescent="0.3">
      <c r="A414">
        <v>4388161847</v>
      </c>
      <c r="B414" s="1">
        <v>42708</v>
      </c>
      <c r="C414">
        <v>10122</v>
      </c>
      <c r="D414" s="2">
        <v>778000020980835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1440</v>
      </c>
      <c r="M414">
        <v>2955</v>
      </c>
      <c r="N414" t="str">
        <f t="shared" si="12"/>
        <v>Alta Actividad</v>
      </c>
      <c r="O414" t="str">
        <f t="shared" si="13"/>
        <v>Alto Sedentarismo</v>
      </c>
    </row>
    <row r="415" spans="1:15" x14ac:dyDescent="0.3">
      <c r="A415">
        <v>4388161847</v>
      </c>
      <c r="B415" t="s">
        <v>15</v>
      </c>
      <c r="C415">
        <v>10993</v>
      </c>
      <c r="D415" s="2">
        <v>844999980926514</v>
      </c>
      <c r="E415" t="s">
        <v>69</v>
      </c>
      <c r="F415" t="s">
        <v>71</v>
      </c>
      <c r="G415" s="2">
        <v>388000011444092</v>
      </c>
      <c r="H415">
        <v>0</v>
      </c>
      <c r="I415">
        <v>1</v>
      </c>
      <c r="J415">
        <v>14</v>
      </c>
      <c r="K415">
        <v>150</v>
      </c>
      <c r="L415">
        <v>1275</v>
      </c>
      <c r="M415">
        <v>3092</v>
      </c>
      <c r="N415" t="str">
        <f t="shared" si="12"/>
        <v>Alta Actividad</v>
      </c>
      <c r="O415" t="str">
        <f t="shared" si="13"/>
        <v>Alto Sedentarismo</v>
      </c>
    </row>
    <row r="416" spans="1:15" x14ac:dyDescent="0.3">
      <c r="A416">
        <v>4388161847</v>
      </c>
      <c r="B416" t="s">
        <v>17</v>
      </c>
      <c r="C416">
        <v>8863</v>
      </c>
      <c r="D416" s="2">
        <v>682000017166138</v>
      </c>
      <c r="E416" t="s">
        <v>86</v>
      </c>
      <c r="F416" s="2">
        <v>107000005245209</v>
      </c>
      <c r="G416" s="2">
        <v>561999988555908</v>
      </c>
      <c r="H416">
        <v>0</v>
      </c>
      <c r="I416">
        <v>10</v>
      </c>
      <c r="J416">
        <v>35</v>
      </c>
      <c r="K416">
        <v>219</v>
      </c>
      <c r="L416">
        <v>945</v>
      </c>
      <c r="M416">
        <v>2998</v>
      </c>
      <c r="N416" t="str">
        <f t="shared" si="12"/>
        <v>Baja Actividad</v>
      </c>
      <c r="O416" t="str">
        <f t="shared" si="13"/>
        <v>Alto Sedentarismo</v>
      </c>
    </row>
    <row r="417" spans="1:15" x14ac:dyDescent="0.3">
      <c r="A417">
        <v>4388161847</v>
      </c>
      <c r="B417" t="s">
        <v>19</v>
      </c>
      <c r="C417">
        <v>8758</v>
      </c>
      <c r="D417" s="2">
        <v>673000001907349</v>
      </c>
      <c r="E417">
        <v>0</v>
      </c>
      <c r="F417">
        <v>0</v>
      </c>
      <c r="G417" s="2">
        <v>673000001907349</v>
      </c>
      <c r="H417">
        <v>0</v>
      </c>
      <c r="I417">
        <v>0</v>
      </c>
      <c r="J417">
        <v>0</v>
      </c>
      <c r="K417">
        <v>299</v>
      </c>
      <c r="L417">
        <v>837</v>
      </c>
      <c r="M417">
        <v>3066</v>
      </c>
      <c r="N417" t="str">
        <f t="shared" si="12"/>
        <v>Baja Actividad</v>
      </c>
      <c r="O417" t="str">
        <f t="shared" si="13"/>
        <v>Alto Sedentarismo</v>
      </c>
    </row>
    <row r="418" spans="1:15" x14ac:dyDescent="0.3">
      <c r="A418">
        <v>4388161847</v>
      </c>
      <c r="B418" t="s">
        <v>20</v>
      </c>
      <c r="C418">
        <v>6580</v>
      </c>
      <c r="D418" s="2">
        <v>505999994277954</v>
      </c>
      <c r="E418" t="s">
        <v>36</v>
      </c>
      <c r="F418" t="s">
        <v>18</v>
      </c>
      <c r="G418" s="2">
        <v>444999980926514</v>
      </c>
      <c r="H418">
        <v>0</v>
      </c>
      <c r="I418">
        <v>6</v>
      </c>
      <c r="J418">
        <v>9</v>
      </c>
      <c r="K418">
        <v>253</v>
      </c>
      <c r="L418">
        <v>609</v>
      </c>
      <c r="M418">
        <v>3073</v>
      </c>
      <c r="N418" t="str">
        <f t="shared" si="12"/>
        <v>Baja Actividad</v>
      </c>
      <c r="O418" t="str">
        <f t="shared" si="13"/>
        <v>Bajo Sedentarismo</v>
      </c>
    </row>
    <row r="419" spans="1:15" x14ac:dyDescent="0.3">
      <c r="A419">
        <v>4388161847</v>
      </c>
      <c r="B419" t="s">
        <v>22</v>
      </c>
      <c r="C419">
        <v>4660</v>
      </c>
      <c r="D419" s="2">
        <v>357999992370605</v>
      </c>
      <c r="E419">
        <v>0</v>
      </c>
      <c r="F419">
        <v>0</v>
      </c>
      <c r="G419" s="2">
        <v>357999992370605</v>
      </c>
      <c r="H419">
        <v>0</v>
      </c>
      <c r="I419">
        <v>0</v>
      </c>
      <c r="J419">
        <v>0</v>
      </c>
      <c r="K419">
        <v>201</v>
      </c>
      <c r="L419">
        <v>721</v>
      </c>
      <c r="M419">
        <v>2572</v>
      </c>
      <c r="N419" t="str">
        <f t="shared" si="12"/>
        <v>Baja Actividad</v>
      </c>
      <c r="O419" t="str">
        <f t="shared" si="13"/>
        <v>Alto Sedentarismo</v>
      </c>
    </row>
    <row r="420" spans="1:15" x14ac:dyDescent="0.3">
      <c r="A420">
        <v>4388161847</v>
      </c>
      <c r="B420" t="s">
        <v>24</v>
      </c>
      <c r="C420">
        <v>11009</v>
      </c>
      <c r="D420" s="2">
        <v>910000038146973</v>
      </c>
      <c r="E420" s="2">
        <v>355999994277954</v>
      </c>
      <c r="F420" t="s">
        <v>18</v>
      </c>
      <c r="G420" s="2">
        <v>51399998664856</v>
      </c>
      <c r="H420">
        <v>0</v>
      </c>
      <c r="I420">
        <v>27</v>
      </c>
      <c r="J420">
        <v>8</v>
      </c>
      <c r="K420">
        <v>239</v>
      </c>
      <c r="L420">
        <v>1017</v>
      </c>
      <c r="M420">
        <v>3274</v>
      </c>
      <c r="N420" t="str">
        <f t="shared" si="12"/>
        <v>Alta Actividad</v>
      </c>
      <c r="O420" t="str">
        <f t="shared" si="13"/>
        <v>Alto Sedentarismo</v>
      </c>
    </row>
    <row r="421" spans="1:15" x14ac:dyDescent="0.3">
      <c r="A421">
        <v>4388161847</v>
      </c>
      <c r="B421" t="s">
        <v>27</v>
      </c>
      <c r="C421">
        <v>10181</v>
      </c>
      <c r="D421" s="2">
        <v>782999992370605</v>
      </c>
      <c r="E421" s="2">
        <v>137000000476837</v>
      </c>
      <c r="F421" t="s">
        <v>16</v>
      </c>
      <c r="G421" s="2">
        <v>576999998092651</v>
      </c>
      <c r="H421">
        <v>0</v>
      </c>
      <c r="I421">
        <v>20</v>
      </c>
      <c r="J421">
        <v>16</v>
      </c>
      <c r="K421">
        <v>249</v>
      </c>
      <c r="L421">
        <v>704</v>
      </c>
      <c r="M421">
        <v>3015</v>
      </c>
      <c r="N421" t="str">
        <f t="shared" si="12"/>
        <v>Alta Actividad</v>
      </c>
      <c r="O421" t="str">
        <f t="shared" si="13"/>
        <v>Alto Sedentarismo</v>
      </c>
    </row>
    <row r="422" spans="1:15" x14ac:dyDescent="0.3">
      <c r="A422">
        <v>4388161847</v>
      </c>
      <c r="B422" t="s">
        <v>28</v>
      </c>
      <c r="C422">
        <v>10553</v>
      </c>
      <c r="D422" s="2">
        <v>811999988555908</v>
      </c>
      <c r="E422" s="2">
        <v>110000002384186</v>
      </c>
      <c r="F422" s="2">
        <v>172000002861023</v>
      </c>
      <c r="G422" s="2">
        <v>528999996185303</v>
      </c>
      <c r="H422">
        <v>0</v>
      </c>
      <c r="I422">
        <v>19</v>
      </c>
      <c r="J422">
        <v>42</v>
      </c>
      <c r="K422">
        <v>228</v>
      </c>
      <c r="L422">
        <v>696</v>
      </c>
      <c r="M422">
        <v>3083</v>
      </c>
      <c r="N422" t="str">
        <f t="shared" si="12"/>
        <v>Alta Actividad</v>
      </c>
      <c r="O422" t="str">
        <f t="shared" si="13"/>
        <v>Bajo Sedentarismo</v>
      </c>
    </row>
    <row r="423" spans="1:15" x14ac:dyDescent="0.3">
      <c r="A423">
        <v>4388161847</v>
      </c>
      <c r="B423" t="s">
        <v>30</v>
      </c>
      <c r="C423">
        <v>10055</v>
      </c>
      <c r="D423" s="2">
        <v>773000001907349</v>
      </c>
      <c r="E423" t="s">
        <v>117</v>
      </c>
      <c r="F423" t="s">
        <v>118</v>
      </c>
      <c r="G423" s="2">
        <v>698000001907349</v>
      </c>
      <c r="H423">
        <v>0</v>
      </c>
      <c r="I423">
        <v>7</v>
      </c>
      <c r="J423">
        <v>12</v>
      </c>
      <c r="K423">
        <v>272</v>
      </c>
      <c r="L423">
        <v>853</v>
      </c>
      <c r="M423">
        <v>3069</v>
      </c>
      <c r="N423" t="str">
        <f t="shared" si="12"/>
        <v>Alta Actividad</v>
      </c>
      <c r="O423" t="str">
        <f t="shared" si="13"/>
        <v>Alto Sedentarismo</v>
      </c>
    </row>
    <row r="424" spans="1:15" x14ac:dyDescent="0.3">
      <c r="A424">
        <v>4388161847</v>
      </c>
      <c r="B424" t="s">
        <v>32</v>
      </c>
      <c r="C424">
        <v>12139</v>
      </c>
      <c r="D424" s="2">
        <v>934000015258789</v>
      </c>
      <c r="E424" s="2">
        <v>329999995231628</v>
      </c>
      <c r="F424" s="2">
        <v>111000001430511</v>
      </c>
      <c r="G424" s="2">
        <v>492000007629395</v>
      </c>
      <c r="H424">
        <v>0</v>
      </c>
      <c r="I424">
        <v>77</v>
      </c>
      <c r="J424">
        <v>25</v>
      </c>
      <c r="K424">
        <v>220</v>
      </c>
      <c r="L424">
        <v>945</v>
      </c>
      <c r="M424">
        <v>3544</v>
      </c>
      <c r="N424" t="str">
        <f t="shared" si="12"/>
        <v>Alta Actividad</v>
      </c>
      <c r="O424" t="str">
        <f t="shared" si="13"/>
        <v>Alto Sedentarismo</v>
      </c>
    </row>
    <row r="425" spans="1:15" x14ac:dyDescent="0.3">
      <c r="A425">
        <v>4388161847</v>
      </c>
      <c r="B425" t="s">
        <v>33</v>
      </c>
      <c r="C425">
        <v>13236</v>
      </c>
      <c r="D425" s="2">
        <v>101800003051758</v>
      </c>
      <c r="E425" t="s">
        <v>106</v>
      </c>
      <c r="F425" t="s">
        <v>48</v>
      </c>
      <c r="G425" s="2">
        <v>534999990463257</v>
      </c>
      <c r="H425">
        <v>0</v>
      </c>
      <c r="I425">
        <v>58</v>
      </c>
      <c r="J425">
        <v>5</v>
      </c>
      <c r="K425">
        <v>215</v>
      </c>
      <c r="L425">
        <v>749</v>
      </c>
      <c r="M425">
        <v>3306</v>
      </c>
      <c r="N425" t="str">
        <f t="shared" si="12"/>
        <v>Alta Actividad</v>
      </c>
      <c r="O425" t="str">
        <f t="shared" si="13"/>
        <v>Alto Sedentarismo</v>
      </c>
    </row>
    <row r="426" spans="1:15" x14ac:dyDescent="0.3">
      <c r="A426">
        <v>4388161847</v>
      </c>
      <c r="B426" t="s">
        <v>35</v>
      </c>
      <c r="C426">
        <v>10243</v>
      </c>
      <c r="D426" s="2">
        <v>788000011444092</v>
      </c>
      <c r="E426" s="2">
        <v>108000004291534</v>
      </c>
      <c r="F426" t="s">
        <v>137</v>
      </c>
      <c r="G426" s="2">
        <v>630000019073486</v>
      </c>
      <c r="H426">
        <v>0</v>
      </c>
      <c r="I426">
        <v>14</v>
      </c>
      <c r="J426">
        <v>8</v>
      </c>
      <c r="K426">
        <v>239</v>
      </c>
      <c r="L426">
        <v>584</v>
      </c>
      <c r="M426">
        <v>2885</v>
      </c>
      <c r="N426" t="str">
        <f t="shared" si="12"/>
        <v>Alta Actividad</v>
      </c>
      <c r="O426" t="str">
        <f t="shared" si="13"/>
        <v>Bajo Sedentarismo</v>
      </c>
    </row>
    <row r="427" spans="1:15" x14ac:dyDescent="0.3">
      <c r="A427">
        <v>4388161847</v>
      </c>
      <c r="B427" t="s">
        <v>37</v>
      </c>
      <c r="C427">
        <v>12961</v>
      </c>
      <c r="D427" s="2">
        <v>997000026702881</v>
      </c>
      <c r="E427" t="s">
        <v>97</v>
      </c>
      <c r="F427" s="2">
        <v>139999997615814</v>
      </c>
      <c r="G427" s="2">
        <v>784000015258789</v>
      </c>
      <c r="H427">
        <v>0</v>
      </c>
      <c r="I427">
        <v>11</v>
      </c>
      <c r="J427">
        <v>31</v>
      </c>
      <c r="K427">
        <v>301</v>
      </c>
      <c r="L427">
        <v>1054</v>
      </c>
      <c r="M427">
        <v>3288</v>
      </c>
      <c r="N427" t="str">
        <f t="shared" si="12"/>
        <v>Alta Actividad</v>
      </c>
      <c r="O427" t="str">
        <f t="shared" si="13"/>
        <v>Alto Sedentarismo</v>
      </c>
    </row>
    <row r="428" spans="1:15" x14ac:dyDescent="0.3">
      <c r="A428">
        <v>4388161847</v>
      </c>
      <c r="B428" t="s">
        <v>39</v>
      </c>
      <c r="C428">
        <v>9461</v>
      </c>
      <c r="D428" s="2">
        <v>728000020980835</v>
      </c>
      <c r="E428" t="s">
        <v>104</v>
      </c>
      <c r="F428" s="2">
        <v>105999994277954</v>
      </c>
      <c r="G428" s="2">
        <v>526999998092651</v>
      </c>
      <c r="H428">
        <v>0</v>
      </c>
      <c r="I428">
        <v>14</v>
      </c>
      <c r="J428">
        <v>23</v>
      </c>
      <c r="K428">
        <v>224</v>
      </c>
      <c r="L428">
        <v>673</v>
      </c>
      <c r="M428">
        <v>2929</v>
      </c>
      <c r="N428" t="str">
        <f t="shared" si="12"/>
        <v>Baja Actividad</v>
      </c>
      <c r="O428" t="str">
        <f t="shared" si="13"/>
        <v>Bajo Sedentarismo</v>
      </c>
    </row>
    <row r="429" spans="1:15" x14ac:dyDescent="0.3">
      <c r="A429">
        <v>4388161847</v>
      </c>
      <c r="B429" t="s">
        <v>41</v>
      </c>
      <c r="C429">
        <v>11193</v>
      </c>
      <c r="D429" s="2">
        <v>860999965667725</v>
      </c>
      <c r="E429" t="s">
        <v>128</v>
      </c>
      <c r="F429" s="2">
        <v>250999999046326</v>
      </c>
      <c r="G429" s="2">
        <v>53899998664856</v>
      </c>
      <c r="H429">
        <v>0</v>
      </c>
      <c r="I429">
        <v>11</v>
      </c>
      <c r="J429">
        <v>48</v>
      </c>
      <c r="K429">
        <v>241</v>
      </c>
      <c r="L429">
        <v>684</v>
      </c>
      <c r="M429">
        <v>3074</v>
      </c>
      <c r="N429" t="str">
        <f t="shared" si="12"/>
        <v>Alta Actividad</v>
      </c>
      <c r="O429" t="str">
        <f t="shared" si="13"/>
        <v>Bajo Sedentarismo</v>
      </c>
    </row>
    <row r="430" spans="1:15" x14ac:dyDescent="0.3">
      <c r="A430">
        <v>4388161847</v>
      </c>
      <c r="B430" t="s">
        <v>42</v>
      </c>
      <c r="C430">
        <v>10074</v>
      </c>
      <c r="D430" t="s">
        <v>132</v>
      </c>
      <c r="E430" s="2">
        <v>128999996185303</v>
      </c>
      <c r="F430" t="s">
        <v>129</v>
      </c>
      <c r="G430" s="2">
        <v>603000020980835</v>
      </c>
      <c r="H430">
        <v>0</v>
      </c>
      <c r="I430">
        <v>19</v>
      </c>
      <c r="J430">
        <v>9</v>
      </c>
      <c r="K430">
        <v>234</v>
      </c>
      <c r="L430">
        <v>878</v>
      </c>
      <c r="M430">
        <v>2969</v>
      </c>
      <c r="N430" t="str">
        <f t="shared" si="12"/>
        <v>Alta Actividad</v>
      </c>
      <c r="O430" t="str">
        <f t="shared" si="13"/>
        <v>Alto Sedentarismo</v>
      </c>
    </row>
    <row r="431" spans="1:15" x14ac:dyDescent="0.3">
      <c r="A431">
        <v>4388161847</v>
      </c>
      <c r="B431" t="s">
        <v>43</v>
      </c>
      <c r="C431">
        <v>9232</v>
      </c>
      <c r="D431" s="2">
        <v>709999990463257</v>
      </c>
      <c r="E431" t="s">
        <v>70</v>
      </c>
      <c r="F431" t="s">
        <v>65</v>
      </c>
      <c r="G431" s="2">
        <v>542000007629395</v>
      </c>
      <c r="H431">
        <v>0</v>
      </c>
      <c r="I431">
        <v>13</v>
      </c>
      <c r="J431">
        <v>16</v>
      </c>
      <c r="K431">
        <v>236</v>
      </c>
      <c r="L431">
        <v>1175</v>
      </c>
      <c r="M431">
        <v>2979</v>
      </c>
      <c r="N431" t="str">
        <f t="shared" si="12"/>
        <v>Baja Actividad</v>
      </c>
      <c r="O431" t="str">
        <f t="shared" si="13"/>
        <v>Alto Sedentarismo</v>
      </c>
    </row>
    <row r="432" spans="1:15" x14ac:dyDescent="0.3">
      <c r="A432">
        <v>4388161847</v>
      </c>
      <c r="B432" t="s">
        <v>45</v>
      </c>
      <c r="C432">
        <v>12533</v>
      </c>
      <c r="D432" s="2">
        <v>964000034332275</v>
      </c>
      <c r="E432" t="s">
        <v>128</v>
      </c>
      <c r="F432">
        <v>2</v>
      </c>
      <c r="G432" s="2">
        <v>694000005722046</v>
      </c>
      <c r="H432">
        <v>0</v>
      </c>
      <c r="I432">
        <v>14</v>
      </c>
      <c r="J432">
        <v>43</v>
      </c>
      <c r="K432">
        <v>300</v>
      </c>
      <c r="L432">
        <v>537</v>
      </c>
      <c r="M432">
        <v>3283</v>
      </c>
      <c r="N432" t="str">
        <f t="shared" si="12"/>
        <v>Alta Actividad</v>
      </c>
      <c r="O432" t="str">
        <f t="shared" si="13"/>
        <v>Bajo Sedentarismo</v>
      </c>
    </row>
    <row r="433" spans="1:15" x14ac:dyDescent="0.3">
      <c r="A433">
        <v>4388161847</v>
      </c>
      <c r="B433" s="1">
        <v>42374</v>
      </c>
      <c r="C433">
        <v>10255</v>
      </c>
      <c r="D433" s="2">
        <v>78899998664856</v>
      </c>
      <c r="E433" s="2">
        <v>100999999046326</v>
      </c>
      <c r="F433" t="s">
        <v>91</v>
      </c>
      <c r="G433" s="2">
        <v>619999980926514</v>
      </c>
      <c r="H433">
        <v>0</v>
      </c>
      <c r="I433">
        <v>12</v>
      </c>
      <c r="J433">
        <v>15</v>
      </c>
      <c r="K433">
        <v>241</v>
      </c>
      <c r="L433">
        <v>579</v>
      </c>
      <c r="M433">
        <v>2926</v>
      </c>
      <c r="N433" t="str">
        <f t="shared" si="12"/>
        <v>Alta Actividad</v>
      </c>
      <c r="O433" t="str">
        <f t="shared" si="13"/>
        <v>Bajo Sedentarismo</v>
      </c>
    </row>
    <row r="434" spans="1:15" x14ac:dyDescent="0.3">
      <c r="A434">
        <v>4388161847</v>
      </c>
      <c r="B434" s="1">
        <v>42405</v>
      </c>
      <c r="C434">
        <v>10096</v>
      </c>
      <c r="D434" s="2">
        <v>839999961853027</v>
      </c>
      <c r="E434" s="2">
        <v>376999998092651</v>
      </c>
      <c r="F434" t="s">
        <v>111</v>
      </c>
      <c r="G434" s="2">
        <v>455000019073486</v>
      </c>
      <c r="H434">
        <v>0</v>
      </c>
      <c r="I434">
        <v>33</v>
      </c>
      <c r="J434">
        <v>4</v>
      </c>
      <c r="K434">
        <v>204</v>
      </c>
      <c r="L434">
        <v>935</v>
      </c>
      <c r="M434">
        <v>3147</v>
      </c>
      <c r="N434" t="str">
        <f t="shared" si="12"/>
        <v>Alta Actividad</v>
      </c>
      <c r="O434" t="str">
        <f t="shared" si="13"/>
        <v>Alto Sedentarismo</v>
      </c>
    </row>
    <row r="435" spans="1:15" x14ac:dyDescent="0.3">
      <c r="A435">
        <v>4388161847</v>
      </c>
      <c r="B435" s="1">
        <v>42434</v>
      </c>
      <c r="C435">
        <v>12727</v>
      </c>
      <c r="D435" s="2">
        <v>978999996185303</v>
      </c>
      <c r="E435" s="2">
        <v>112999999523163</v>
      </c>
      <c r="F435" t="s">
        <v>23</v>
      </c>
      <c r="G435" s="2">
        <v>788000011444092</v>
      </c>
      <c r="H435">
        <v>0</v>
      </c>
      <c r="I435">
        <v>18</v>
      </c>
      <c r="J435">
        <v>18</v>
      </c>
      <c r="K435">
        <v>306</v>
      </c>
      <c r="L435">
        <v>984</v>
      </c>
      <c r="M435">
        <v>3290</v>
      </c>
      <c r="N435" t="str">
        <f t="shared" si="12"/>
        <v>Alta Actividad</v>
      </c>
      <c r="O435" t="str">
        <f t="shared" si="13"/>
        <v>Alto Sedentarismo</v>
      </c>
    </row>
    <row r="436" spans="1:15" x14ac:dyDescent="0.3">
      <c r="A436">
        <v>4388161847</v>
      </c>
      <c r="B436" s="1">
        <v>42465</v>
      </c>
      <c r="C436">
        <v>12375</v>
      </c>
      <c r="D436" s="2">
        <v>952000045776367</v>
      </c>
      <c r="E436" s="2">
        <v>278999996185303</v>
      </c>
      <c r="F436" t="s">
        <v>109</v>
      </c>
      <c r="G436" s="2">
        <v>580000019073486</v>
      </c>
      <c r="H436">
        <v>0</v>
      </c>
      <c r="I436">
        <v>35</v>
      </c>
      <c r="J436">
        <v>21</v>
      </c>
      <c r="K436">
        <v>251</v>
      </c>
      <c r="L436">
        <v>632</v>
      </c>
      <c r="M436">
        <v>3162</v>
      </c>
      <c r="N436" t="str">
        <f t="shared" si="12"/>
        <v>Alta Actividad</v>
      </c>
      <c r="O436" t="str">
        <f t="shared" si="13"/>
        <v>Bajo Sedentarismo</v>
      </c>
    </row>
    <row r="437" spans="1:15" x14ac:dyDescent="0.3">
      <c r="A437">
        <v>4388161847</v>
      </c>
      <c r="B437" s="1">
        <v>42495</v>
      </c>
      <c r="C437">
        <v>9603</v>
      </c>
      <c r="D437" s="2">
        <v>738000011444092</v>
      </c>
      <c r="E437" t="s">
        <v>71</v>
      </c>
      <c r="F437" s="2">
        <v>166999995708466</v>
      </c>
      <c r="G437" s="2">
        <v>509000015258789</v>
      </c>
      <c r="H437">
        <v>0</v>
      </c>
      <c r="I437">
        <v>12</v>
      </c>
      <c r="J437">
        <v>39</v>
      </c>
      <c r="K437">
        <v>199</v>
      </c>
      <c r="L437">
        <v>896</v>
      </c>
      <c r="M437">
        <v>2899</v>
      </c>
      <c r="N437" t="str">
        <f t="shared" si="12"/>
        <v>Baja Actividad</v>
      </c>
      <c r="O437" t="str">
        <f t="shared" si="13"/>
        <v>Alto Sedentarismo</v>
      </c>
    </row>
    <row r="438" spans="1:15" x14ac:dyDescent="0.3">
      <c r="A438">
        <v>4388161847</v>
      </c>
      <c r="B438" s="1">
        <v>42526</v>
      </c>
      <c r="C438">
        <v>13175</v>
      </c>
      <c r="D438" s="2">
        <v>101300001144409</v>
      </c>
      <c r="E438" s="2">
        <v>210999989509583</v>
      </c>
      <c r="F438" s="2">
        <v>208999991416931</v>
      </c>
      <c r="G438" s="2">
        <v>592999982833862</v>
      </c>
      <c r="H438">
        <v>0</v>
      </c>
      <c r="I438">
        <v>33</v>
      </c>
      <c r="J438">
        <v>45</v>
      </c>
      <c r="K438">
        <v>262</v>
      </c>
      <c r="L438">
        <v>1100</v>
      </c>
      <c r="M438">
        <v>3425</v>
      </c>
      <c r="N438" t="str">
        <f t="shared" si="12"/>
        <v>Alta Actividad</v>
      </c>
      <c r="O438" t="str">
        <f t="shared" si="13"/>
        <v>Alto Sedentarismo</v>
      </c>
    </row>
    <row r="439" spans="1:15" x14ac:dyDescent="0.3">
      <c r="A439">
        <v>4388161847</v>
      </c>
      <c r="B439" s="1">
        <v>42556</v>
      </c>
      <c r="C439">
        <v>22770</v>
      </c>
      <c r="D439" s="2">
        <v>175400009155273</v>
      </c>
      <c r="E439" s="2">
        <v>944999980926514</v>
      </c>
      <c r="F439" s="2">
        <v>276999998092651</v>
      </c>
      <c r="G439" s="2">
        <v>532999992370605</v>
      </c>
      <c r="H439">
        <v>0</v>
      </c>
      <c r="I439">
        <v>120</v>
      </c>
      <c r="J439">
        <v>56</v>
      </c>
      <c r="K439">
        <v>260</v>
      </c>
      <c r="L439">
        <v>508</v>
      </c>
      <c r="M439">
        <v>4022</v>
      </c>
      <c r="N439" t="str">
        <f t="shared" si="12"/>
        <v>Alta Actividad</v>
      </c>
      <c r="O439" t="str">
        <f t="shared" si="13"/>
        <v>Bajo Sedentarismo</v>
      </c>
    </row>
    <row r="440" spans="1:15" x14ac:dyDescent="0.3">
      <c r="A440">
        <v>4388161847</v>
      </c>
      <c r="B440" s="1">
        <v>42587</v>
      </c>
      <c r="C440">
        <v>17298</v>
      </c>
      <c r="D440" s="2">
        <v>143800001144409</v>
      </c>
      <c r="E440" s="2">
        <v>989000034332275</v>
      </c>
      <c r="F440" s="2">
        <v>125999999046326</v>
      </c>
      <c r="G440" s="2">
        <v>323000001907349</v>
      </c>
      <c r="H440">
        <v>0</v>
      </c>
      <c r="I440">
        <v>107</v>
      </c>
      <c r="J440">
        <v>38</v>
      </c>
      <c r="K440">
        <v>178</v>
      </c>
      <c r="L440">
        <v>576</v>
      </c>
      <c r="M440">
        <v>3934</v>
      </c>
      <c r="N440" t="str">
        <f t="shared" si="12"/>
        <v>Alta Actividad</v>
      </c>
      <c r="O440" t="str">
        <f t="shared" si="13"/>
        <v>Bajo Sedentarismo</v>
      </c>
    </row>
    <row r="441" spans="1:15" x14ac:dyDescent="0.3">
      <c r="A441">
        <v>4388161847</v>
      </c>
      <c r="B441" s="1">
        <v>42618</v>
      </c>
      <c r="C441">
        <v>10218</v>
      </c>
      <c r="D441" s="2">
        <v>78600001335144</v>
      </c>
      <c r="E441" t="s">
        <v>107</v>
      </c>
      <c r="F441" t="s">
        <v>97</v>
      </c>
      <c r="G441" s="2">
        <v>678999996185303</v>
      </c>
      <c r="H441">
        <v>0</v>
      </c>
      <c r="I441">
        <v>6</v>
      </c>
      <c r="J441">
        <v>19</v>
      </c>
      <c r="K441">
        <v>258</v>
      </c>
      <c r="L441">
        <v>1020</v>
      </c>
      <c r="M441">
        <v>3013</v>
      </c>
      <c r="N441" t="str">
        <f t="shared" si="12"/>
        <v>Alta Actividad</v>
      </c>
      <c r="O441" t="str">
        <f t="shared" si="13"/>
        <v>Alto Sedentarismo</v>
      </c>
    </row>
    <row r="442" spans="1:15" x14ac:dyDescent="0.3">
      <c r="A442">
        <v>4388161847</v>
      </c>
      <c r="B442" s="1">
        <v>42648</v>
      </c>
      <c r="C442">
        <v>10299</v>
      </c>
      <c r="D442" s="2">
        <v>792000007629395</v>
      </c>
      <c r="E442" t="s">
        <v>82</v>
      </c>
      <c r="F442" t="s">
        <v>138</v>
      </c>
      <c r="G442" s="2">
        <v>646000003814697</v>
      </c>
      <c r="H442">
        <v>0</v>
      </c>
      <c r="I442">
        <v>13</v>
      </c>
      <c r="J442">
        <v>14</v>
      </c>
      <c r="K442">
        <v>267</v>
      </c>
      <c r="L442">
        <v>648</v>
      </c>
      <c r="M442">
        <v>3061</v>
      </c>
      <c r="N442" t="str">
        <f t="shared" si="12"/>
        <v>Alta Actividad</v>
      </c>
      <c r="O442" t="str">
        <f t="shared" si="13"/>
        <v>Bajo Sedentarismo</v>
      </c>
    </row>
    <row r="443" spans="1:15" x14ac:dyDescent="0.3">
      <c r="A443">
        <v>4388161847</v>
      </c>
      <c r="B443" s="1">
        <v>42679</v>
      </c>
      <c r="C443">
        <v>10201</v>
      </c>
      <c r="D443" s="2">
        <v>784000015258789</v>
      </c>
      <c r="E443" t="s">
        <v>49</v>
      </c>
      <c r="F443" t="s">
        <v>81</v>
      </c>
      <c r="G443" s="2">
        <v>653000020980835</v>
      </c>
      <c r="H443">
        <v>0</v>
      </c>
      <c r="I443">
        <v>8</v>
      </c>
      <c r="J443">
        <v>18</v>
      </c>
      <c r="K443">
        <v>256</v>
      </c>
      <c r="L443">
        <v>858</v>
      </c>
      <c r="M443">
        <v>2954</v>
      </c>
      <c r="N443" t="str">
        <f t="shared" si="12"/>
        <v>Alta Actividad</v>
      </c>
      <c r="O443" t="str">
        <f t="shared" si="13"/>
        <v>Alto Sedentarismo</v>
      </c>
    </row>
    <row r="444" spans="1:15" x14ac:dyDescent="0.3">
      <c r="A444">
        <v>4388161847</v>
      </c>
      <c r="B444" s="1">
        <v>42709</v>
      </c>
      <c r="C444">
        <v>3369</v>
      </c>
      <c r="D444" s="2">
        <v>258999991416931</v>
      </c>
      <c r="E444">
        <v>0</v>
      </c>
      <c r="F444">
        <v>0</v>
      </c>
      <c r="G444" s="2">
        <v>258999991416931</v>
      </c>
      <c r="H444">
        <v>0</v>
      </c>
      <c r="I444">
        <v>0</v>
      </c>
      <c r="J444">
        <v>0</v>
      </c>
      <c r="K444">
        <v>108</v>
      </c>
      <c r="L444">
        <v>825</v>
      </c>
      <c r="M444">
        <v>1623</v>
      </c>
      <c r="N444" t="str">
        <f t="shared" si="12"/>
        <v>Baja Actividad</v>
      </c>
      <c r="O444" t="str">
        <f t="shared" si="13"/>
        <v>Alto Sedentarismo</v>
      </c>
    </row>
    <row r="445" spans="1:15" x14ac:dyDescent="0.3">
      <c r="A445">
        <v>4445114986</v>
      </c>
      <c r="B445" s="1">
        <v>42708</v>
      </c>
      <c r="C445">
        <v>3276</v>
      </c>
      <c r="D445" s="2">
        <v>220000004768372</v>
      </c>
      <c r="E445">
        <v>0</v>
      </c>
      <c r="F445">
        <v>0</v>
      </c>
      <c r="G445" s="2">
        <v>220000004768372</v>
      </c>
      <c r="H445">
        <v>0</v>
      </c>
      <c r="I445">
        <v>0</v>
      </c>
      <c r="J445">
        <v>0</v>
      </c>
      <c r="K445">
        <v>196</v>
      </c>
      <c r="L445">
        <v>787</v>
      </c>
      <c r="M445">
        <v>2113</v>
      </c>
      <c r="N445" t="str">
        <f t="shared" si="12"/>
        <v>Baja Actividad</v>
      </c>
      <c r="O445" t="str">
        <f t="shared" si="13"/>
        <v>Alto Sedentarismo</v>
      </c>
    </row>
    <row r="446" spans="1:15" x14ac:dyDescent="0.3">
      <c r="A446">
        <v>4445114986</v>
      </c>
      <c r="B446" t="s">
        <v>15</v>
      </c>
      <c r="C446">
        <v>2961</v>
      </c>
      <c r="D446" s="2">
        <v>199000000953674</v>
      </c>
      <c r="E446">
        <v>0</v>
      </c>
      <c r="F446">
        <v>0</v>
      </c>
      <c r="G446" s="2">
        <v>199000000953674</v>
      </c>
      <c r="H446">
        <v>0</v>
      </c>
      <c r="I446">
        <v>0</v>
      </c>
      <c r="J446">
        <v>0</v>
      </c>
      <c r="K446">
        <v>194</v>
      </c>
      <c r="L446">
        <v>840</v>
      </c>
      <c r="M446">
        <v>2095</v>
      </c>
      <c r="N446" t="str">
        <f t="shared" si="12"/>
        <v>Baja Actividad</v>
      </c>
      <c r="O446" t="str">
        <f t="shared" si="13"/>
        <v>Alto Sedentarismo</v>
      </c>
    </row>
    <row r="447" spans="1:15" x14ac:dyDescent="0.3">
      <c r="A447">
        <v>4445114986</v>
      </c>
      <c r="B447" t="s">
        <v>17</v>
      </c>
      <c r="C447">
        <v>3974</v>
      </c>
      <c r="D447" s="2">
        <v>267000007629395</v>
      </c>
      <c r="E447">
        <v>0</v>
      </c>
      <c r="F447">
        <v>0</v>
      </c>
      <c r="G447" s="2">
        <v>267000007629395</v>
      </c>
      <c r="H447">
        <v>0</v>
      </c>
      <c r="I447">
        <v>0</v>
      </c>
      <c r="J447">
        <v>0</v>
      </c>
      <c r="K447">
        <v>231</v>
      </c>
      <c r="L447">
        <v>717</v>
      </c>
      <c r="M447">
        <v>2194</v>
      </c>
      <c r="N447" t="str">
        <f t="shared" si="12"/>
        <v>Baja Actividad</v>
      </c>
      <c r="O447" t="str">
        <f t="shared" si="13"/>
        <v>Alto Sedentarismo</v>
      </c>
    </row>
    <row r="448" spans="1:15" x14ac:dyDescent="0.3">
      <c r="A448">
        <v>4445114986</v>
      </c>
      <c r="B448" t="s">
        <v>19</v>
      </c>
      <c r="C448">
        <v>7198</v>
      </c>
      <c r="D448" s="2">
        <v>482999992370605</v>
      </c>
      <c r="E448">
        <v>0</v>
      </c>
      <c r="F448">
        <v>0</v>
      </c>
      <c r="G448" s="2">
        <v>482999992370605</v>
      </c>
      <c r="H448">
        <v>0</v>
      </c>
      <c r="I448">
        <v>0</v>
      </c>
      <c r="J448">
        <v>0</v>
      </c>
      <c r="K448">
        <v>350</v>
      </c>
      <c r="L448">
        <v>711</v>
      </c>
      <c r="M448">
        <v>2496</v>
      </c>
      <c r="N448" t="str">
        <f t="shared" si="12"/>
        <v>Baja Actividad</v>
      </c>
      <c r="O448" t="str">
        <f t="shared" si="13"/>
        <v>Alto Sedentarismo</v>
      </c>
    </row>
    <row r="449" spans="1:15" x14ac:dyDescent="0.3">
      <c r="A449">
        <v>4445114986</v>
      </c>
      <c r="B449" t="s">
        <v>20</v>
      </c>
      <c r="C449">
        <v>3945</v>
      </c>
      <c r="D449" s="2">
        <v>265000009536743</v>
      </c>
      <c r="E449">
        <v>0</v>
      </c>
      <c r="F449">
        <v>0</v>
      </c>
      <c r="G449" s="2">
        <v>265000009536743</v>
      </c>
      <c r="H449">
        <v>0</v>
      </c>
      <c r="I449">
        <v>0</v>
      </c>
      <c r="J449">
        <v>0</v>
      </c>
      <c r="K449">
        <v>225</v>
      </c>
      <c r="L449">
        <v>716</v>
      </c>
      <c r="M449">
        <v>2180</v>
      </c>
      <c r="N449" t="str">
        <f t="shared" si="12"/>
        <v>Baja Actividad</v>
      </c>
      <c r="O449" t="str">
        <f t="shared" si="13"/>
        <v>Alto Sedentarismo</v>
      </c>
    </row>
    <row r="450" spans="1:15" x14ac:dyDescent="0.3">
      <c r="A450">
        <v>4445114986</v>
      </c>
      <c r="B450" t="s">
        <v>22</v>
      </c>
      <c r="C450">
        <v>2268</v>
      </c>
      <c r="D450" s="2">
        <v>151999998092651</v>
      </c>
      <c r="E450">
        <v>0</v>
      </c>
      <c r="F450">
        <v>0</v>
      </c>
      <c r="G450" s="2">
        <v>151999998092651</v>
      </c>
      <c r="H450">
        <v>0</v>
      </c>
      <c r="I450">
        <v>0</v>
      </c>
      <c r="J450">
        <v>0</v>
      </c>
      <c r="K450">
        <v>114</v>
      </c>
      <c r="L450">
        <v>1219</v>
      </c>
      <c r="M450">
        <v>1933</v>
      </c>
      <c r="N450" t="str">
        <f t="shared" si="12"/>
        <v>Baja Actividad</v>
      </c>
      <c r="O450" t="str">
        <f t="shared" si="13"/>
        <v>Alto Sedentarismo</v>
      </c>
    </row>
    <row r="451" spans="1:15" x14ac:dyDescent="0.3">
      <c r="A451">
        <v>4445114986</v>
      </c>
      <c r="B451" t="s">
        <v>24</v>
      </c>
      <c r="C451">
        <v>6155</v>
      </c>
      <c r="D451" s="2">
        <v>423999977111816</v>
      </c>
      <c r="E451">
        <v>2</v>
      </c>
      <c r="F451" t="s">
        <v>131</v>
      </c>
      <c r="G451" s="2">
        <v>195000004768372</v>
      </c>
      <c r="H451">
        <v>0</v>
      </c>
      <c r="I451">
        <v>25</v>
      </c>
      <c r="J451">
        <v>6</v>
      </c>
      <c r="K451">
        <v>162</v>
      </c>
      <c r="L451">
        <v>1247</v>
      </c>
      <c r="M451">
        <v>2248</v>
      </c>
      <c r="N451" t="str">
        <f t="shared" ref="N451:N514" si="14">IF(C451&gt;=10000, "Alta Actividad", "Baja Actividad")</f>
        <v>Baja Actividad</v>
      </c>
      <c r="O451" t="str">
        <f t="shared" ref="O451:O514" si="15">IF(L451&gt;=700, "Alto Sedentarismo",  "Bajo Sedentarismo")</f>
        <v>Alto Sedentarismo</v>
      </c>
    </row>
    <row r="452" spans="1:15" x14ac:dyDescent="0.3">
      <c r="A452">
        <v>4445114986</v>
      </c>
      <c r="B452" t="s">
        <v>27</v>
      </c>
      <c r="C452">
        <v>2064</v>
      </c>
      <c r="D452" s="2">
        <v>138999998569489</v>
      </c>
      <c r="E452">
        <v>0</v>
      </c>
      <c r="F452">
        <v>0</v>
      </c>
      <c r="G452" s="2">
        <v>138999998569489</v>
      </c>
      <c r="H452">
        <v>0</v>
      </c>
      <c r="I452">
        <v>0</v>
      </c>
      <c r="J452">
        <v>0</v>
      </c>
      <c r="K452">
        <v>121</v>
      </c>
      <c r="L452">
        <v>895</v>
      </c>
      <c r="M452">
        <v>1954</v>
      </c>
      <c r="N452" t="str">
        <f t="shared" si="14"/>
        <v>Baja Actividad</v>
      </c>
      <c r="O452" t="str">
        <f t="shared" si="15"/>
        <v>Alto Sedentarismo</v>
      </c>
    </row>
    <row r="453" spans="1:15" x14ac:dyDescent="0.3">
      <c r="A453">
        <v>4445114986</v>
      </c>
      <c r="B453" t="s">
        <v>28</v>
      </c>
      <c r="C453">
        <v>2072</v>
      </c>
      <c r="D453" s="2">
        <v>138999998569489</v>
      </c>
      <c r="E453">
        <v>0</v>
      </c>
      <c r="F453">
        <v>0</v>
      </c>
      <c r="G453" s="2">
        <v>138999998569489</v>
      </c>
      <c r="H453">
        <v>0</v>
      </c>
      <c r="I453">
        <v>0</v>
      </c>
      <c r="J453">
        <v>0</v>
      </c>
      <c r="K453">
        <v>137</v>
      </c>
      <c r="L453">
        <v>841</v>
      </c>
      <c r="M453">
        <v>1974</v>
      </c>
      <c r="N453" t="str">
        <f t="shared" si="14"/>
        <v>Baja Actividad</v>
      </c>
      <c r="O453" t="str">
        <f t="shared" si="15"/>
        <v>Alto Sedentarismo</v>
      </c>
    </row>
    <row r="454" spans="1:15" x14ac:dyDescent="0.3">
      <c r="A454">
        <v>4445114986</v>
      </c>
      <c r="B454" t="s">
        <v>30</v>
      </c>
      <c r="C454">
        <v>3809</v>
      </c>
      <c r="D454" s="2">
        <v>255999994277954</v>
      </c>
      <c r="E454">
        <v>0</v>
      </c>
      <c r="F454">
        <v>0</v>
      </c>
      <c r="G454" s="2">
        <v>253999996185303</v>
      </c>
      <c r="H454">
        <v>0</v>
      </c>
      <c r="I454">
        <v>0</v>
      </c>
      <c r="J454">
        <v>0</v>
      </c>
      <c r="K454">
        <v>215</v>
      </c>
      <c r="L454">
        <v>756</v>
      </c>
      <c r="M454">
        <v>2150</v>
      </c>
      <c r="N454" t="str">
        <f t="shared" si="14"/>
        <v>Baja Actividad</v>
      </c>
      <c r="O454" t="str">
        <f t="shared" si="15"/>
        <v>Alto Sedentarismo</v>
      </c>
    </row>
    <row r="455" spans="1:15" x14ac:dyDescent="0.3">
      <c r="A455">
        <v>4445114986</v>
      </c>
      <c r="B455" t="s">
        <v>32</v>
      </c>
      <c r="C455">
        <v>6831</v>
      </c>
      <c r="D455" s="2">
        <v>457999992370605</v>
      </c>
      <c r="E455">
        <v>0</v>
      </c>
      <c r="F455">
        <v>0</v>
      </c>
      <c r="G455" s="2">
        <v>457999992370605</v>
      </c>
      <c r="H455">
        <v>0</v>
      </c>
      <c r="I455">
        <v>0</v>
      </c>
      <c r="J455">
        <v>0</v>
      </c>
      <c r="K455">
        <v>317</v>
      </c>
      <c r="L455">
        <v>706</v>
      </c>
      <c r="M455">
        <v>2432</v>
      </c>
      <c r="N455" t="str">
        <f t="shared" si="14"/>
        <v>Baja Actividad</v>
      </c>
      <c r="O455" t="str">
        <f t="shared" si="15"/>
        <v>Alto Sedentarismo</v>
      </c>
    </row>
    <row r="456" spans="1:15" x14ac:dyDescent="0.3">
      <c r="A456">
        <v>4445114986</v>
      </c>
      <c r="B456" t="s">
        <v>33</v>
      </c>
      <c r="C456">
        <v>4363</v>
      </c>
      <c r="D456" s="2">
        <v>29300000667572</v>
      </c>
      <c r="E456">
        <v>0</v>
      </c>
      <c r="F456">
        <v>0</v>
      </c>
      <c r="G456" s="2">
        <v>29300000667572</v>
      </c>
      <c r="H456">
        <v>0</v>
      </c>
      <c r="I456">
        <v>0</v>
      </c>
      <c r="J456">
        <v>0</v>
      </c>
      <c r="K456">
        <v>201</v>
      </c>
      <c r="L456">
        <v>1239</v>
      </c>
      <c r="M456">
        <v>2149</v>
      </c>
      <c r="N456" t="str">
        <f t="shared" si="14"/>
        <v>Baja Actividad</v>
      </c>
      <c r="O456" t="str">
        <f t="shared" si="15"/>
        <v>Alto Sedentarismo</v>
      </c>
    </row>
    <row r="457" spans="1:15" x14ac:dyDescent="0.3">
      <c r="A457">
        <v>4445114986</v>
      </c>
      <c r="B457" t="s">
        <v>35</v>
      </c>
      <c r="C457">
        <v>5002</v>
      </c>
      <c r="D457" s="2">
        <v>335999989509583</v>
      </c>
      <c r="E457">
        <v>0</v>
      </c>
      <c r="F457">
        <v>0</v>
      </c>
      <c r="G457" s="2">
        <v>335999989509583</v>
      </c>
      <c r="H457">
        <v>0</v>
      </c>
      <c r="I457">
        <v>0</v>
      </c>
      <c r="J457">
        <v>0</v>
      </c>
      <c r="K457">
        <v>244</v>
      </c>
      <c r="L457">
        <v>1196</v>
      </c>
      <c r="M457">
        <v>2247</v>
      </c>
      <c r="N457" t="str">
        <f t="shared" si="14"/>
        <v>Baja Actividad</v>
      </c>
      <c r="O457" t="str">
        <f t="shared" si="15"/>
        <v>Alto Sedentarismo</v>
      </c>
    </row>
    <row r="458" spans="1:15" x14ac:dyDescent="0.3">
      <c r="A458">
        <v>4445114986</v>
      </c>
      <c r="B458" t="s">
        <v>37</v>
      </c>
      <c r="C458">
        <v>3385</v>
      </c>
      <c r="D458" s="2">
        <v>226999998092651</v>
      </c>
      <c r="E458">
        <v>0</v>
      </c>
      <c r="F458">
        <v>0</v>
      </c>
      <c r="G458" s="2">
        <v>226999998092651</v>
      </c>
      <c r="H458">
        <v>0</v>
      </c>
      <c r="I458">
        <v>0</v>
      </c>
      <c r="J458">
        <v>0</v>
      </c>
      <c r="K458">
        <v>179</v>
      </c>
      <c r="L458">
        <v>916</v>
      </c>
      <c r="M458">
        <v>2070</v>
      </c>
      <c r="N458" t="str">
        <f t="shared" si="14"/>
        <v>Baja Actividad</v>
      </c>
      <c r="O458" t="str">
        <f t="shared" si="15"/>
        <v>Alto Sedentarismo</v>
      </c>
    </row>
    <row r="459" spans="1:15" x14ac:dyDescent="0.3">
      <c r="A459">
        <v>4445114986</v>
      </c>
      <c r="B459" t="s">
        <v>39</v>
      </c>
      <c r="C459">
        <v>6326</v>
      </c>
      <c r="D459" s="2">
        <v>440999984741211</v>
      </c>
      <c r="E459" s="2">
        <v>241000008583069</v>
      </c>
      <c r="F459" t="s">
        <v>133</v>
      </c>
      <c r="G459" s="2">
        <v>196000003814697</v>
      </c>
      <c r="H459">
        <v>0</v>
      </c>
      <c r="I459">
        <v>29</v>
      </c>
      <c r="J459">
        <v>1</v>
      </c>
      <c r="K459">
        <v>180</v>
      </c>
      <c r="L459">
        <v>839</v>
      </c>
      <c r="M459">
        <v>2291</v>
      </c>
      <c r="N459" t="str">
        <f t="shared" si="14"/>
        <v>Baja Actividad</v>
      </c>
      <c r="O459" t="str">
        <f t="shared" si="15"/>
        <v>Alto Sedentarismo</v>
      </c>
    </row>
    <row r="460" spans="1:15" x14ac:dyDescent="0.3">
      <c r="A460">
        <v>4445114986</v>
      </c>
      <c r="B460" t="s">
        <v>41</v>
      </c>
      <c r="C460">
        <v>7243</v>
      </c>
      <c r="D460" s="2">
        <v>503000020980835</v>
      </c>
      <c r="E460" s="2">
        <v>261999988555908</v>
      </c>
      <c r="F460" t="s">
        <v>88</v>
      </c>
      <c r="G460" s="2">
        <v>238000011444092</v>
      </c>
      <c r="H460">
        <v>0</v>
      </c>
      <c r="I460">
        <v>32</v>
      </c>
      <c r="J460">
        <v>1</v>
      </c>
      <c r="K460">
        <v>194</v>
      </c>
      <c r="L460">
        <v>839</v>
      </c>
      <c r="M460">
        <v>2361</v>
      </c>
      <c r="N460" t="str">
        <f t="shared" si="14"/>
        <v>Baja Actividad</v>
      </c>
      <c r="O460" t="str">
        <f t="shared" si="15"/>
        <v>Alto Sedentarismo</v>
      </c>
    </row>
    <row r="461" spans="1:15" x14ac:dyDescent="0.3">
      <c r="A461">
        <v>4445114986</v>
      </c>
      <c r="B461" t="s">
        <v>42</v>
      </c>
      <c r="C461">
        <v>4493</v>
      </c>
      <c r="D461" s="2">
        <v>300999999046326</v>
      </c>
      <c r="E461">
        <v>0</v>
      </c>
      <c r="F461">
        <v>0</v>
      </c>
      <c r="G461" s="2">
        <v>300999999046326</v>
      </c>
      <c r="H461">
        <v>0</v>
      </c>
      <c r="I461">
        <v>0</v>
      </c>
      <c r="J461">
        <v>0</v>
      </c>
      <c r="K461">
        <v>236</v>
      </c>
      <c r="L461">
        <v>762</v>
      </c>
      <c r="M461">
        <v>2203</v>
      </c>
      <c r="N461" t="str">
        <f t="shared" si="14"/>
        <v>Baja Actividad</v>
      </c>
      <c r="O461" t="str">
        <f t="shared" si="15"/>
        <v>Alto Sedentarismo</v>
      </c>
    </row>
    <row r="462" spans="1:15" x14ac:dyDescent="0.3">
      <c r="A462">
        <v>4445114986</v>
      </c>
      <c r="B462" t="s">
        <v>43</v>
      </c>
      <c r="C462">
        <v>4676</v>
      </c>
      <c r="D462" s="2">
        <v>314000010490417</v>
      </c>
      <c r="E462">
        <v>0</v>
      </c>
      <c r="F462">
        <v>0</v>
      </c>
      <c r="G462" s="2">
        <v>313000011444092</v>
      </c>
      <c r="H462">
        <v>0</v>
      </c>
      <c r="I462">
        <v>0</v>
      </c>
      <c r="J462">
        <v>0</v>
      </c>
      <c r="K462">
        <v>226</v>
      </c>
      <c r="L462">
        <v>1106</v>
      </c>
      <c r="M462">
        <v>2196</v>
      </c>
      <c r="N462" t="str">
        <f t="shared" si="14"/>
        <v>Baja Actividad</v>
      </c>
      <c r="O462" t="str">
        <f t="shared" si="15"/>
        <v>Alto Sedentarismo</v>
      </c>
    </row>
    <row r="463" spans="1:15" x14ac:dyDescent="0.3">
      <c r="A463">
        <v>4445114986</v>
      </c>
      <c r="B463" t="s">
        <v>45</v>
      </c>
      <c r="C463">
        <v>6222</v>
      </c>
      <c r="D463" s="2">
        <v>417999982833862</v>
      </c>
      <c r="E463">
        <v>0</v>
      </c>
      <c r="F463">
        <v>0</v>
      </c>
      <c r="G463" s="2">
        <v>417999982833862</v>
      </c>
      <c r="H463">
        <v>0</v>
      </c>
      <c r="I463">
        <v>0</v>
      </c>
      <c r="J463">
        <v>0</v>
      </c>
      <c r="K463">
        <v>290</v>
      </c>
      <c r="L463">
        <v>797</v>
      </c>
      <c r="M463">
        <v>2363</v>
      </c>
      <c r="N463" t="str">
        <f t="shared" si="14"/>
        <v>Baja Actividad</v>
      </c>
      <c r="O463" t="str">
        <f t="shared" si="15"/>
        <v>Alto Sedentarismo</v>
      </c>
    </row>
    <row r="464" spans="1:15" x14ac:dyDescent="0.3">
      <c r="A464">
        <v>4445114986</v>
      </c>
      <c r="B464" s="1">
        <v>42374</v>
      </c>
      <c r="C464">
        <v>5232</v>
      </c>
      <c r="D464" s="2">
        <v>350999999046326</v>
      </c>
      <c r="E464">
        <v>0</v>
      </c>
      <c r="F464">
        <v>0</v>
      </c>
      <c r="G464" s="2">
        <v>350999999046326</v>
      </c>
      <c r="H464">
        <v>0</v>
      </c>
      <c r="I464">
        <v>0</v>
      </c>
      <c r="J464">
        <v>0</v>
      </c>
      <c r="K464">
        <v>240</v>
      </c>
      <c r="L464">
        <v>741</v>
      </c>
      <c r="M464">
        <v>2246</v>
      </c>
      <c r="N464" t="str">
        <f t="shared" si="14"/>
        <v>Baja Actividad</v>
      </c>
      <c r="O464" t="str">
        <f t="shared" si="15"/>
        <v>Alto Sedentarismo</v>
      </c>
    </row>
    <row r="465" spans="1:15" x14ac:dyDescent="0.3">
      <c r="A465">
        <v>4445114986</v>
      </c>
      <c r="B465" s="1">
        <v>42405</v>
      </c>
      <c r="C465">
        <v>6910</v>
      </c>
      <c r="D465" t="s">
        <v>123</v>
      </c>
      <c r="E465" s="2">
        <v>221000003814697</v>
      </c>
      <c r="F465" t="s">
        <v>112</v>
      </c>
      <c r="G465" s="2">
        <v>234999990463257</v>
      </c>
      <c r="H465">
        <v>0</v>
      </c>
      <c r="I465">
        <v>27</v>
      </c>
      <c r="J465">
        <v>4</v>
      </c>
      <c r="K465">
        <v>200</v>
      </c>
      <c r="L465">
        <v>667</v>
      </c>
      <c r="M465">
        <v>2336</v>
      </c>
      <c r="N465" t="str">
        <f t="shared" si="14"/>
        <v>Baja Actividad</v>
      </c>
      <c r="O465" t="str">
        <f t="shared" si="15"/>
        <v>Bajo Sedentarismo</v>
      </c>
    </row>
    <row r="466" spans="1:15" x14ac:dyDescent="0.3">
      <c r="A466">
        <v>4445114986</v>
      </c>
      <c r="B466" s="1">
        <v>42434</v>
      </c>
      <c r="C466">
        <v>7502</v>
      </c>
      <c r="D466" s="2">
        <v>517999982833862</v>
      </c>
      <c r="E466" s="2">
        <v>248000001907349</v>
      </c>
      <c r="F466" t="s">
        <v>94</v>
      </c>
      <c r="G466" s="2">
        <v>257999992370605</v>
      </c>
      <c r="H466">
        <v>0</v>
      </c>
      <c r="I466">
        <v>30</v>
      </c>
      <c r="J466">
        <v>2</v>
      </c>
      <c r="K466">
        <v>233</v>
      </c>
      <c r="L466">
        <v>725</v>
      </c>
      <c r="M466">
        <v>2421</v>
      </c>
      <c r="N466" t="str">
        <f t="shared" si="14"/>
        <v>Baja Actividad</v>
      </c>
      <c r="O466" t="str">
        <f t="shared" si="15"/>
        <v>Alto Sedentarismo</v>
      </c>
    </row>
    <row r="467" spans="1:15" x14ac:dyDescent="0.3">
      <c r="A467">
        <v>4445114986</v>
      </c>
      <c r="B467" s="1">
        <v>42465</v>
      </c>
      <c r="C467">
        <v>2923</v>
      </c>
      <c r="D467" s="2">
        <v>196000003814697</v>
      </c>
      <c r="E467">
        <v>0</v>
      </c>
      <c r="F467">
        <v>0</v>
      </c>
      <c r="G467" s="2">
        <v>196000003814697</v>
      </c>
      <c r="H467">
        <v>0</v>
      </c>
      <c r="I467">
        <v>0</v>
      </c>
      <c r="J467">
        <v>0</v>
      </c>
      <c r="K467">
        <v>180</v>
      </c>
      <c r="L467">
        <v>897</v>
      </c>
      <c r="M467">
        <v>2070</v>
      </c>
      <c r="N467" t="str">
        <f t="shared" si="14"/>
        <v>Baja Actividad</v>
      </c>
      <c r="O467" t="str">
        <f t="shared" si="15"/>
        <v>Alto Sedentarismo</v>
      </c>
    </row>
    <row r="468" spans="1:15" x14ac:dyDescent="0.3">
      <c r="A468">
        <v>4445114986</v>
      </c>
      <c r="B468" s="1">
        <v>42495</v>
      </c>
      <c r="C468">
        <v>3800</v>
      </c>
      <c r="D468" s="2">
        <v>254999995231628</v>
      </c>
      <c r="E468" t="s">
        <v>87</v>
      </c>
      <c r="F468" t="s">
        <v>72</v>
      </c>
      <c r="G468" s="2">
        <v>21800000667572</v>
      </c>
      <c r="H468">
        <v>0</v>
      </c>
      <c r="I468">
        <v>2</v>
      </c>
      <c r="J468">
        <v>6</v>
      </c>
      <c r="K468">
        <v>185</v>
      </c>
      <c r="L468">
        <v>734</v>
      </c>
      <c r="M468">
        <v>2120</v>
      </c>
      <c r="N468" t="str">
        <f t="shared" si="14"/>
        <v>Baja Actividad</v>
      </c>
      <c r="O468" t="str">
        <f t="shared" si="15"/>
        <v>Alto Sedentarismo</v>
      </c>
    </row>
    <row r="469" spans="1:15" x14ac:dyDescent="0.3">
      <c r="A469">
        <v>4445114986</v>
      </c>
      <c r="B469" s="1">
        <v>42526</v>
      </c>
      <c r="C469">
        <v>4514</v>
      </c>
      <c r="D469" s="2">
        <v>302999997138977</v>
      </c>
      <c r="E469">
        <v>0</v>
      </c>
      <c r="F469">
        <v>0</v>
      </c>
      <c r="G469" s="2">
        <v>302999997138977</v>
      </c>
      <c r="H469">
        <v>0</v>
      </c>
      <c r="I469">
        <v>0</v>
      </c>
      <c r="J469">
        <v>0</v>
      </c>
      <c r="K469">
        <v>229</v>
      </c>
      <c r="L469">
        <v>809</v>
      </c>
      <c r="M469">
        <v>2211</v>
      </c>
      <c r="N469" t="str">
        <f t="shared" si="14"/>
        <v>Baja Actividad</v>
      </c>
      <c r="O469" t="str">
        <f t="shared" si="15"/>
        <v>Alto Sedentarismo</v>
      </c>
    </row>
    <row r="470" spans="1:15" x14ac:dyDescent="0.3">
      <c r="A470">
        <v>4445114986</v>
      </c>
      <c r="B470" s="1">
        <v>42556</v>
      </c>
      <c r="C470">
        <v>5183</v>
      </c>
      <c r="D470" s="2">
        <v>358999991416931</v>
      </c>
      <c r="E470" s="2">
        <v>213000011444092</v>
      </c>
      <c r="F470" t="s">
        <v>112</v>
      </c>
      <c r="G470" t="s">
        <v>139</v>
      </c>
      <c r="H470">
        <v>0</v>
      </c>
      <c r="I470">
        <v>26</v>
      </c>
      <c r="J470">
        <v>4</v>
      </c>
      <c r="K470">
        <v>108</v>
      </c>
      <c r="L470">
        <v>866</v>
      </c>
      <c r="M470">
        <v>2123</v>
      </c>
      <c r="N470" t="str">
        <f t="shared" si="14"/>
        <v>Baja Actividad</v>
      </c>
      <c r="O470" t="str">
        <f t="shared" si="15"/>
        <v>Alto Sedentarismo</v>
      </c>
    </row>
    <row r="471" spans="1:15" x14ac:dyDescent="0.3">
      <c r="A471">
        <v>4445114986</v>
      </c>
      <c r="B471" s="1">
        <v>42587</v>
      </c>
      <c r="C471">
        <v>7303</v>
      </c>
      <c r="D471" s="2">
        <v>490000009536743</v>
      </c>
      <c r="E471">
        <v>0</v>
      </c>
      <c r="F471" t="s">
        <v>47</v>
      </c>
      <c r="G471" s="2">
        <v>465000009536743</v>
      </c>
      <c r="H471">
        <v>0</v>
      </c>
      <c r="I471">
        <v>0</v>
      </c>
      <c r="J471">
        <v>8</v>
      </c>
      <c r="K471">
        <v>308</v>
      </c>
      <c r="L471">
        <v>733</v>
      </c>
      <c r="M471">
        <v>2423</v>
      </c>
      <c r="N471" t="str">
        <f t="shared" si="14"/>
        <v>Baja Actividad</v>
      </c>
      <c r="O471" t="str">
        <f t="shared" si="15"/>
        <v>Alto Sedentarismo</v>
      </c>
    </row>
    <row r="472" spans="1:15" x14ac:dyDescent="0.3">
      <c r="A472">
        <v>4445114986</v>
      </c>
      <c r="B472" s="1">
        <v>42618</v>
      </c>
      <c r="C472">
        <v>5275</v>
      </c>
      <c r="D472" s="2">
        <v>353999996185303</v>
      </c>
      <c r="E472">
        <v>0</v>
      </c>
      <c r="F472">
        <v>0</v>
      </c>
      <c r="G472" s="2">
        <v>353999996185303</v>
      </c>
      <c r="H472">
        <v>0</v>
      </c>
      <c r="I472">
        <v>0</v>
      </c>
      <c r="J472">
        <v>0</v>
      </c>
      <c r="K472">
        <v>266</v>
      </c>
      <c r="L472">
        <v>641</v>
      </c>
      <c r="M472">
        <v>2281</v>
      </c>
      <c r="N472" t="str">
        <f t="shared" si="14"/>
        <v>Baja Actividad</v>
      </c>
      <c r="O472" t="str">
        <f t="shared" si="15"/>
        <v>Bajo Sedentarismo</v>
      </c>
    </row>
    <row r="473" spans="1:15" x14ac:dyDescent="0.3">
      <c r="A473">
        <v>4445114986</v>
      </c>
      <c r="B473" s="1">
        <v>42648</v>
      </c>
      <c r="C473">
        <v>3915</v>
      </c>
      <c r="D473" s="2">
        <v>263000011444092</v>
      </c>
      <c r="E473">
        <v>0</v>
      </c>
      <c r="F473">
        <v>0</v>
      </c>
      <c r="G473" s="2">
        <v>263000011444092</v>
      </c>
      <c r="H473">
        <v>0</v>
      </c>
      <c r="I473">
        <v>0</v>
      </c>
      <c r="J473">
        <v>0</v>
      </c>
      <c r="K473">
        <v>231</v>
      </c>
      <c r="L473">
        <v>783</v>
      </c>
      <c r="M473">
        <v>2181</v>
      </c>
      <c r="N473" t="str">
        <f t="shared" si="14"/>
        <v>Baja Actividad</v>
      </c>
      <c r="O473" t="str">
        <f t="shared" si="15"/>
        <v>Alto Sedentarismo</v>
      </c>
    </row>
    <row r="474" spans="1:15" x14ac:dyDescent="0.3">
      <c r="A474">
        <v>4445114986</v>
      </c>
      <c r="B474" s="1">
        <v>42679</v>
      </c>
      <c r="C474">
        <v>9105</v>
      </c>
      <c r="D474" s="2">
        <v>61100001335144</v>
      </c>
      <c r="E474" t="s">
        <v>64</v>
      </c>
      <c r="F474">
        <v>1</v>
      </c>
      <c r="G474" s="2">
        <v>285999989509583</v>
      </c>
      <c r="H474">
        <v>0</v>
      </c>
      <c r="I474">
        <v>34</v>
      </c>
      <c r="J474">
        <v>22</v>
      </c>
      <c r="K474">
        <v>232</v>
      </c>
      <c r="L474">
        <v>622</v>
      </c>
      <c r="M474">
        <v>2499</v>
      </c>
      <c r="N474" t="str">
        <f t="shared" si="14"/>
        <v>Baja Actividad</v>
      </c>
      <c r="O474" t="str">
        <f t="shared" si="15"/>
        <v>Bajo Sedentarismo</v>
      </c>
    </row>
    <row r="475" spans="1:15" x14ac:dyDescent="0.3">
      <c r="A475">
        <v>4445114986</v>
      </c>
      <c r="B475" s="1">
        <v>42709</v>
      </c>
      <c r="C475">
        <v>768</v>
      </c>
      <c r="D475" t="s">
        <v>77</v>
      </c>
      <c r="E475">
        <v>0</v>
      </c>
      <c r="F475">
        <v>0</v>
      </c>
      <c r="G475" t="s">
        <v>77</v>
      </c>
      <c r="H475">
        <v>0</v>
      </c>
      <c r="I475">
        <v>0</v>
      </c>
      <c r="J475">
        <v>0</v>
      </c>
      <c r="K475">
        <v>58</v>
      </c>
      <c r="L475">
        <v>380</v>
      </c>
      <c r="M475">
        <v>1212</v>
      </c>
      <c r="N475" t="str">
        <f t="shared" si="14"/>
        <v>Baja Actividad</v>
      </c>
      <c r="O475" t="str">
        <f t="shared" si="15"/>
        <v>Bajo Sedentarismo</v>
      </c>
    </row>
    <row r="476" spans="1:15" x14ac:dyDescent="0.3">
      <c r="A476">
        <v>4558609924</v>
      </c>
      <c r="B476" s="1">
        <v>42708</v>
      </c>
      <c r="C476">
        <v>5135</v>
      </c>
      <c r="D476" s="2">
        <v>339000010490417</v>
      </c>
      <c r="E476">
        <v>0</v>
      </c>
      <c r="F476">
        <v>0</v>
      </c>
      <c r="G476" s="2">
        <v>339000010490417</v>
      </c>
      <c r="H476">
        <v>0</v>
      </c>
      <c r="I476">
        <v>0</v>
      </c>
      <c r="J476">
        <v>0</v>
      </c>
      <c r="K476">
        <v>318</v>
      </c>
      <c r="L476">
        <v>1122</v>
      </c>
      <c r="M476">
        <v>1909</v>
      </c>
      <c r="N476" t="str">
        <f t="shared" si="14"/>
        <v>Baja Actividad</v>
      </c>
      <c r="O476" t="str">
        <f t="shared" si="15"/>
        <v>Alto Sedentarismo</v>
      </c>
    </row>
    <row r="477" spans="1:15" x14ac:dyDescent="0.3">
      <c r="A477">
        <v>4558609924</v>
      </c>
      <c r="B477" t="s">
        <v>15</v>
      </c>
      <c r="C477">
        <v>4978</v>
      </c>
      <c r="D477" s="2">
        <v>328999996185303</v>
      </c>
      <c r="E477" s="2">
        <v>124000000953674</v>
      </c>
      <c r="F477" t="s">
        <v>134</v>
      </c>
      <c r="G477" s="2">
        <v>161000001430511</v>
      </c>
      <c r="H477">
        <v>0</v>
      </c>
      <c r="I477">
        <v>19</v>
      </c>
      <c r="J477">
        <v>7</v>
      </c>
      <c r="K477">
        <v>127</v>
      </c>
      <c r="L477">
        <v>1287</v>
      </c>
      <c r="M477">
        <v>1722</v>
      </c>
      <c r="N477" t="str">
        <f t="shared" si="14"/>
        <v>Baja Actividad</v>
      </c>
      <c r="O477" t="str">
        <f t="shared" si="15"/>
        <v>Alto Sedentarismo</v>
      </c>
    </row>
    <row r="478" spans="1:15" x14ac:dyDescent="0.3">
      <c r="A478">
        <v>4558609924</v>
      </c>
      <c r="B478" t="s">
        <v>17</v>
      </c>
      <c r="C478">
        <v>6799</v>
      </c>
      <c r="D478" s="2">
        <v>448999977111816</v>
      </c>
      <c r="E478">
        <v>0</v>
      </c>
      <c r="F478">
        <v>0</v>
      </c>
      <c r="G478" s="2">
        <v>448999977111816</v>
      </c>
      <c r="H478">
        <v>0</v>
      </c>
      <c r="I478">
        <v>0</v>
      </c>
      <c r="J478">
        <v>0</v>
      </c>
      <c r="K478">
        <v>279</v>
      </c>
      <c r="L478">
        <v>1161</v>
      </c>
      <c r="M478">
        <v>1922</v>
      </c>
      <c r="N478" t="str">
        <f t="shared" si="14"/>
        <v>Baja Actividad</v>
      </c>
      <c r="O478" t="str">
        <f t="shared" si="15"/>
        <v>Alto Sedentarismo</v>
      </c>
    </row>
    <row r="479" spans="1:15" x14ac:dyDescent="0.3">
      <c r="A479">
        <v>4558609924</v>
      </c>
      <c r="B479" t="s">
        <v>19</v>
      </c>
      <c r="C479">
        <v>7795</v>
      </c>
      <c r="D479" s="2">
        <v>515000009536743</v>
      </c>
      <c r="E479" t="s">
        <v>59</v>
      </c>
      <c r="F479" t="s">
        <v>124</v>
      </c>
      <c r="G479" s="2">
        <v>373000001907349</v>
      </c>
      <c r="H479">
        <v>0</v>
      </c>
      <c r="I479">
        <v>17</v>
      </c>
      <c r="J479">
        <v>30</v>
      </c>
      <c r="K479">
        <v>262</v>
      </c>
      <c r="L479">
        <v>1131</v>
      </c>
      <c r="M479">
        <v>2121</v>
      </c>
      <c r="N479" t="str">
        <f t="shared" si="14"/>
        <v>Baja Actividad</v>
      </c>
      <c r="O479" t="str">
        <f t="shared" si="15"/>
        <v>Alto Sedentarismo</v>
      </c>
    </row>
    <row r="480" spans="1:15" x14ac:dyDescent="0.3">
      <c r="A480">
        <v>4558609924</v>
      </c>
      <c r="B480" t="s">
        <v>20</v>
      </c>
      <c r="C480">
        <v>7289</v>
      </c>
      <c r="D480" s="2">
        <v>482000017166138</v>
      </c>
      <c r="E480" t="s">
        <v>14</v>
      </c>
      <c r="F480" t="s">
        <v>140</v>
      </c>
      <c r="G480" t="s">
        <v>141</v>
      </c>
      <c r="H480">
        <v>0</v>
      </c>
      <c r="I480">
        <v>8</v>
      </c>
      <c r="J480">
        <v>12</v>
      </c>
      <c r="K480">
        <v>308</v>
      </c>
      <c r="L480">
        <v>1112</v>
      </c>
      <c r="M480">
        <v>1997</v>
      </c>
      <c r="N480" t="str">
        <f t="shared" si="14"/>
        <v>Baja Actividad</v>
      </c>
      <c r="O480" t="str">
        <f t="shared" si="15"/>
        <v>Alto Sedentarismo</v>
      </c>
    </row>
    <row r="481" spans="1:15" x14ac:dyDescent="0.3">
      <c r="A481">
        <v>4558609924</v>
      </c>
      <c r="B481" t="s">
        <v>22</v>
      </c>
      <c r="C481">
        <v>9634</v>
      </c>
      <c r="D481" s="2">
        <v>640000009536743</v>
      </c>
      <c r="E481" t="s">
        <v>14</v>
      </c>
      <c r="F481" s="2">
        <v>113999998569489</v>
      </c>
      <c r="G481" s="2">
        <v>471000003814697</v>
      </c>
      <c r="H481">
        <v>0</v>
      </c>
      <c r="I481">
        <v>7</v>
      </c>
      <c r="J481">
        <v>19</v>
      </c>
      <c r="K481">
        <v>304</v>
      </c>
      <c r="L481">
        <v>1110</v>
      </c>
      <c r="M481">
        <v>2117</v>
      </c>
      <c r="N481" t="str">
        <f t="shared" si="14"/>
        <v>Baja Actividad</v>
      </c>
      <c r="O481" t="str">
        <f t="shared" si="15"/>
        <v>Alto Sedentarismo</v>
      </c>
    </row>
    <row r="482" spans="1:15" x14ac:dyDescent="0.3">
      <c r="A482">
        <v>4558609924</v>
      </c>
      <c r="B482" t="s">
        <v>24</v>
      </c>
      <c r="C482">
        <v>8940</v>
      </c>
      <c r="D482" s="2">
        <v>590999984741211</v>
      </c>
      <c r="E482" t="s">
        <v>51</v>
      </c>
      <c r="F482" t="s">
        <v>109</v>
      </c>
      <c r="G482">
        <v>4</v>
      </c>
      <c r="H482">
        <v>0</v>
      </c>
      <c r="I482">
        <v>14</v>
      </c>
      <c r="J482">
        <v>15</v>
      </c>
      <c r="K482">
        <v>331</v>
      </c>
      <c r="L482">
        <v>1080</v>
      </c>
      <c r="M482">
        <v>2116</v>
      </c>
      <c r="N482" t="str">
        <f t="shared" si="14"/>
        <v>Baja Actividad</v>
      </c>
      <c r="O482" t="str">
        <f t="shared" si="15"/>
        <v>Alto Sedentarismo</v>
      </c>
    </row>
    <row r="483" spans="1:15" x14ac:dyDescent="0.3">
      <c r="A483">
        <v>4558609924</v>
      </c>
      <c r="B483" t="s">
        <v>27</v>
      </c>
      <c r="C483">
        <v>5401</v>
      </c>
      <c r="D483" s="2">
        <v>35699999332428</v>
      </c>
      <c r="E483" t="s">
        <v>126</v>
      </c>
      <c r="F483" t="s">
        <v>61</v>
      </c>
      <c r="G483" s="2">
        <v>316000008583069</v>
      </c>
      <c r="H483">
        <v>0</v>
      </c>
      <c r="I483">
        <v>1</v>
      </c>
      <c r="J483">
        <v>9</v>
      </c>
      <c r="K483">
        <v>248</v>
      </c>
      <c r="L483">
        <v>1182</v>
      </c>
      <c r="M483">
        <v>1876</v>
      </c>
      <c r="N483" t="str">
        <f t="shared" si="14"/>
        <v>Baja Actividad</v>
      </c>
      <c r="O483" t="str">
        <f t="shared" si="15"/>
        <v>Alto Sedentarismo</v>
      </c>
    </row>
    <row r="484" spans="1:15" x14ac:dyDescent="0.3">
      <c r="A484">
        <v>4558609924</v>
      </c>
      <c r="B484" t="s">
        <v>28</v>
      </c>
      <c r="C484">
        <v>4803</v>
      </c>
      <c r="D484" s="2">
        <v>317000007629395</v>
      </c>
      <c r="E484">
        <v>0</v>
      </c>
      <c r="F484">
        <v>0</v>
      </c>
      <c r="G484" s="2">
        <v>317000007629395</v>
      </c>
      <c r="H484">
        <v>0</v>
      </c>
      <c r="I484">
        <v>0</v>
      </c>
      <c r="J484">
        <v>0</v>
      </c>
      <c r="K484">
        <v>222</v>
      </c>
      <c r="L484">
        <v>1218</v>
      </c>
      <c r="M484">
        <v>1788</v>
      </c>
      <c r="N484" t="str">
        <f t="shared" si="14"/>
        <v>Baja Actividad</v>
      </c>
      <c r="O484" t="str">
        <f t="shared" si="15"/>
        <v>Alto Sedentarismo</v>
      </c>
    </row>
    <row r="485" spans="1:15" x14ac:dyDescent="0.3">
      <c r="A485">
        <v>4558609924</v>
      </c>
      <c r="B485" t="s">
        <v>30</v>
      </c>
      <c r="C485">
        <v>13743</v>
      </c>
      <c r="D485" s="2">
        <v>907999992370605</v>
      </c>
      <c r="E485" t="s">
        <v>102</v>
      </c>
      <c r="F485" t="s">
        <v>52</v>
      </c>
      <c r="G485" s="2">
        <v>769999980926514</v>
      </c>
      <c r="H485">
        <v>0</v>
      </c>
      <c r="I485">
        <v>6</v>
      </c>
      <c r="J485">
        <v>21</v>
      </c>
      <c r="K485">
        <v>432</v>
      </c>
      <c r="L485">
        <v>844</v>
      </c>
      <c r="M485">
        <v>2486</v>
      </c>
      <c r="N485" t="str">
        <f t="shared" si="14"/>
        <v>Alta Actividad</v>
      </c>
      <c r="O485" t="str">
        <f t="shared" si="15"/>
        <v>Alto Sedentarismo</v>
      </c>
    </row>
    <row r="486" spans="1:15" x14ac:dyDescent="0.3">
      <c r="A486">
        <v>4558609924</v>
      </c>
      <c r="B486" t="s">
        <v>32</v>
      </c>
      <c r="C486">
        <v>9601</v>
      </c>
      <c r="D486" s="2">
        <v>634999990463257</v>
      </c>
      <c r="E486" s="2">
        <v>137000000476837</v>
      </c>
      <c r="F486" t="s">
        <v>90</v>
      </c>
      <c r="G486" s="2">
        <v>347000002861023</v>
      </c>
      <c r="H486">
        <v>0</v>
      </c>
      <c r="I486">
        <v>20</v>
      </c>
      <c r="J486">
        <v>25</v>
      </c>
      <c r="K486">
        <v>273</v>
      </c>
      <c r="L486">
        <v>1122</v>
      </c>
      <c r="M486">
        <v>2094</v>
      </c>
      <c r="N486" t="str">
        <f t="shared" si="14"/>
        <v>Baja Actividad</v>
      </c>
      <c r="O486" t="str">
        <f t="shared" si="15"/>
        <v>Alto Sedentarismo</v>
      </c>
    </row>
    <row r="487" spans="1:15" x14ac:dyDescent="0.3">
      <c r="A487">
        <v>4558609924</v>
      </c>
      <c r="B487" t="s">
        <v>33</v>
      </c>
      <c r="C487">
        <v>6890</v>
      </c>
      <c r="D487" s="2">
        <v>455000019073486</v>
      </c>
      <c r="E487" t="s">
        <v>107</v>
      </c>
      <c r="F487" t="s">
        <v>56</v>
      </c>
      <c r="G487" s="2">
        <v>401000022888184</v>
      </c>
      <c r="H487">
        <v>0</v>
      </c>
      <c r="I487">
        <v>5</v>
      </c>
      <c r="J487">
        <v>5</v>
      </c>
      <c r="K487">
        <v>308</v>
      </c>
      <c r="L487">
        <v>1122</v>
      </c>
      <c r="M487">
        <v>2085</v>
      </c>
      <c r="N487" t="str">
        <f t="shared" si="14"/>
        <v>Baja Actividad</v>
      </c>
      <c r="O487" t="str">
        <f t="shared" si="15"/>
        <v>Alto Sedentarismo</v>
      </c>
    </row>
    <row r="488" spans="1:15" x14ac:dyDescent="0.3">
      <c r="A488">
        <v>4558609924</v>
      </c>
      <c r="B488" t="s">
        <v>35</v>
      </c>
      <c r="C488">
        <v>8563</v>
      </c>
      <c r="D488" s="2">
        <v>565999984741211</v>
      </c>
      <c r="E488">
        <v>0</v>
      </c>
      <c r="F488">
        <v>0</v>
      </c>
      <c r="G488" s="2">
        <v>565000009536743</v>
      </c>
      <c r="H488">
        <v>0</v>
      </c>
      <c r="I488">
        <v>0</v>
      </c>
      <c r="J488">
        <v>0</v>
      </c>
      <c r="K488">
        <v>395</v>
      </c>
      <c r="L488">
        <v>1045</v>
      </c>
      <c r="M488">
        <v>2173</v>
      </c>
      <c r="N488" t="str">
        <f t="shared" si="14"/>
        <v>Baja Actividad</v>
      </c>
      <c r="O488" t="str">
        <f t="shared" si="15"/>
        <v>Alto Sedentarismo</v>
      </c>
    </row>
    <row r="489" spans="1:15" x14ac:dyDescent="0.3">
      <c r="A489">
        <v>4558609924</v>
      </c>
      <c r="B489" t="s">
        <v>37</v>
      </c>
      <c r="C489">
        <v>8095</v>
      </c>
      <c r="D489" s="2">
        <v>534999990463257</v>
      </c>
      <c r="E489" t="s">
        <v>59</v>
      </c>
      <c r="F489" t="s">
        <v>47</v>
      </c>
      <c r="G489" s="2">
        <v>451000022888184</v>
      </c>
      <c r="H489">
        <v>0</v>
      </c>
      <c r="I489">
        <v>18</v>
      </c>
      <c r="J489">
        <v>10</v>
      </c>
      <c r="K489">
        <v>340</v>
      </c>
      <c r="L489">
        <v>993</v>
      </c>
      <c r="M489">
        <v>2225</v>
      </c>
      <c r="N489" t="str">
        <f t="shared" si="14"/>
        <v>Baja Actividad</v>
      </c>
      <c r="O489" t="str">
        <f t="shared" si="15"/>
        <v>Alto Sedentarismo</v>
      </c>
    </row>
    <row r="490" spans="1:15" x14ac:dyDescent="0.3">
      <c r="A490">
        <v>4558609924</v>
      </c>
      <c r="B490" t="s">
        <v>39</v>
      </c>
      <c r="C490">
        <v>9148</v>
      </c>
      <c r="D490" s="2">
        <v>605000019073486</v>
      </c>
      <c r="E490" t="s">
        <v>129</v>
      </c>
      <c r="F490" s="2">
        <v>202999997138977</v>
      </c>
      <c r="G490" s="2">
        <v>358999991416931</v>
      </c>
      <c r="H490">
        <v>0</v>
      </c>
      <c r="I490">
        <v>12</v>
      </c>
      <c r="J490">
        <v>41</v>
      </c>
      <c r="K490">
        <v>283</v>
      </c>
      <c r="L490">
        <v>1062</v>
      </c>
      <c r="M490">
        <v>2223</v>
      </c>
      <c r="N490" t="str">
        <f t="shared" si="14"/>
        <v>Baja Actividad</v>
      </c>
      <c r="O490" t="str">
        <f t="shared" si="15"/>
        <v>Alto Sedentarismo</v>
      </c>
    </row>
    <row r="491" spans="1:15" x14ac:dyDescent="0.3">
      <c r="A491">
        <v>4558609924</v>
      </c>
      <c r="B491" t="s">
        <v>41</v>
      </c>
      <c r="C491">
        <v>9557</v>
      </c>
      <c r="D491" s="2">
        <v>632000017166138</v>
      </c>
      <c r="E491" s="2">
        <v>196000003814697</v>
      </c>
      <c r="F491" t="s">
        <v>65</v>
      </c>
      <c r="G491" s="2">
        <v>346000003814697</v>
      </c>
      <c r="H491">
        <v>0</v>
      </c>
      <c r="I491">
        <v>27</v>
      </c>
      <c r="J491">
        <v>14</v>
      </c>
      <c r="K491">
        <v>312</v>
      </c>
      <c r="L491">
        <v>1087</v>
      </c>
      <c r="M491">
        <v>2098</v>
      </c>
      <c r="N491" t="str">
        <f t="shared" si="14"/>
        <v>Baja Actividad</v>
      </c>
      <c r="O491" t="str">
        <f t="shared" si="15"/>
        <v>Alto Sedentarismo</v>
      </c>
    </row>
    <row r="492" spans="1:15" x14ac:dyDescent="0.3">
      <c r="A492">
        <v>4558609924</v>
      </c>
      <c r="B492" t="s">
        <v>42</v>
      </c>
      <c r="C492">
        <v>9451</v>
      </c>
      <c r="D492" t="s">
        <v>135</v>
      </c>
      <c r="E492" t="s">
        <v>54</v>
      </c>
      <c r="F492" t="s">
        <v>80</v>
      </c>
      <c r="G492" s="2">
        <v>594999980926514</v>
      </c>
      <c r="H492">
        <v>0</v>
      </c>
      <c r="I492">
        <v>1</v>
      </c>
      <c r="J492">
        <v>11</v>
      </c>
      <c r="K492">
        <v>367</v>
      </c>
      <c r="L492">
        <v>985</v>
      </c>
      <c r="M492">
        <v>2185</v>
      </c>
      <c r="N492" t="str">
        <f t="shared" si="14"/>
        <v>Baja Actividad</v>
      </c>
      <c r="O492" t="str">
        <f t="shared" si="15"/>
        <v>Alto Sedentarismo</v>
      </c>
    </row>
    <row r="493" spans="1:15" x14ac:dyDescent="0.3">
      <c r="A493">
        <v>4558609924</v>
      </c>
      <c r="B493" t="s">
        <v>43</v>
      </c>
      <c r="C493">
        <v>7833</v>
      </c>
      <c r="D493" s="2">
        <v>517999982833862</v>
      </c>
      <c r="E493" s="2">
        <v>101999998092651</v>
      </c>
      <c r="F493" s="2">
        <v>185000002384186</v>
      </c>
      <c r="G493" s="2">
        <v>230999994277954</v>
      </c>
      <c r="H493">
        <v>0</v>
      </c>
      <c r="I493">
        <v>15</v>
      </c>
      <c r="J493">
        <v>29</v>
      </c>
      <c r="K493">
        <v>197</v>
      </c>
      <c r="L493">
        <v>1096</v>
      </c>
      <c r="M493">
        <v>1918</v>
      </c>
      <c r="N493" t="str">
        <f t="shared" si="14"/>
        <v>Baja Actividad</v>
      </c>
      <c r="O493" t="str">
        <f t="shared" si="15"/>
        <v>Alto Sedentarismo</v>
      </c>
    </row>
    <row r="494" spans="1:15" x14ac:dyDescent="0.3">
      <c r="A494">
        <v>4558609924</v>
      </c>
      <c r="B494" t="s">
        <v>45</v>
      </c>
      <c r="C494">
        <v>10319</v>
      </c>
      <c r="D494" s="2">
        <v>682000017166138</v>
      </c>
      <c r="E494" t="s">
        <v>89</v>
      </c>
      <c r="F494" s="2">
        <v>188999998569489</v>
      </c>
      <c r="G494" s="2">
        <v>446000003814697</v>
      </c>
      <c r="H494">
        <v>0</v>
      </c>
      <c r="I494">
        <v>7</v>
      </c>
      <c r="J494">
        <v>29</v>
      </c>
      <c r="K494">
        <v>293</v>
      </c>
      <c r="L494">
        <v>1111</v>
      </c>
      <c r="M494">
        <v>2105</v>
      </c>
      <c r="N494" t="str">
        <f t="shared" si="14"/>
        <v>Alta Actividad</v>
      </c>
      <c r="O494" t="str">
        <f t="shared" si="15"/>
        <v>Alto Sedentarismo</v>
      </c>
    </row>
    <row r="495" spans="1:15" x14ac:dyDescent="0.3">
      <c r="A495">
        <v>4558609924</v>
      </c>
      <c r="B495" s="1">
        <v>42374</v>
      </c>
      <c r="C495">
        <v>3428</v>
      </c>
      <c r="D495" s="2">
        <v>226999998092651</v>
      </c>
      <c r="E495">
        <v>0</v>
      </c>
      <c r="F495">
        <v>0</v>
      </c>
      <c r="G495" s="2">
        <v>226999998092651</v>
      </c>
      <c r="H495">
        <v>0</v>
      </c>
      <c r="I495">
        <v>0</v>
      </c>
      <c r="J495">
        <v>0</v>
      </c>
      <c r="K495">
        <v>190</v>
      </c>
      <c r="L495">
        <v>1121</v>
      </c>
      <c r="M495">
        <v>1692</v>
      </c>
      <c r="N495" t="str">
        <f t="shared" si="14"/>
        <v>Baja Actividad</v>
      </c>
      <c r="O495" t="str">
        <f t="shared" si="15"/>
        <v>Alto Sedentarismo</v>
      </c>
    </row>
    <row r="496" spans="1:15" x14ac:dyDescent="0.3">
      <c r="A496">
        <v>4558609924</v>
      </c>
      <c r="B496" s="1">
        <v>42405</v>
      </c>
      <c r="C496">
        <v>7891</v>
      </c>
      <c r="D496" s="2">
        <v>521999979019165</v>
      </c>
      <c r="E496">
        <v>0</v>
      </c>
      <c r="F496">
        <v>0</v>
      </c>
      <c r="G496" s="2">
        <v>521999979019165</v>
      </c>
      <c r="H496">
        <v>0</v>
      </c>
      <c r="I496">
        <v>0</v>
      </c>
      <c r="J496">
        <v>0</v>
      </c>
      <c r="K496">
        <v>383</v>
      </c>
      <c r="L496">
        <v>1057</v>
      </c>
      <c r="M496">
        <v>2066</v>
      </c>
      <c r="N496" t="str">
        <f t="shared" si="14"/>
        <v>Baja Actividad</v>
      </c>
      <c r="O496" t="str">
        <f t="shared" si="15"/>
        <v>Alto Sedentarismo</v>
      </c>
    </row>
    <row r="497" spans="1:15" x14ac:dyDescent="0.3">
      <c r="A497">
        <v>4558609924</v>
      </c>
      <c r="B497" s="1">
        <v>42434</v>
      </c>
      <c r="C497">
        <v>5267</v>
      </c>
      <c r="D497" s="2">
        <v>348000001907349</v>
      </c>
      <c r="E497" t="s">
        <v>142</v>
      </c>
      <c r="F497" t="s">
        <v>119</v>
      </c>
      <c r="G497" s="2">
        <v>259999990463257</v>
      </c>
      <c r="H497">
        <v>0</v>
      </c>
      <c r="I497">
        <v>21</v>
      </c>
      <c r="J497">
        <v>10</v>
      </c>
      <c r="K497">
        <v>237</v>
      </c>
      <c r="L497">
        <v>1172</v>
      </c>
      <c r="M497">
        <v>1953</v>
      </c>
      <c r="N497" t="str">
        <f t="shared" si="14"/>
        <v>Baja Actividad</v>
      </c>
      <c r="O497" t="str">
        <f t="shared" si="15"/>
        <v>Alto Sedentarismo</v>
      </c>
    </row>
    <row r="498" spans="1:15" x14ac:dyDescent="0.3">
      <c r="A498">
        <v>4558609924</v>
      </c>
      <c r="B498" s="1">
        <v>42465</v>
      </c>
      <c r="C498">
        <v>5232</v>
      </c>
      <c r="D498" s="2">
        <v>346000003814697</v>
      </c>
      <c r="E498">
        <v>0</v>
      </c>
      <c r="F498">
        <v>0</v>
      </c>
      <c r="G498" s="2">
        <v>346000003814697</v>
      </c>
      <c r="H498">
        <v>0</v>
      </c>
      <c r="I498">
        <v>0</v>
      </c>
      <c r="J498">
        <v>0</v>
      </c>
      <c r="K498">
        <v>252</v>
      </c>
      <c r="L498">
        <v>1188</v>
      </c>
      <c r="M498">
        <v>1842</v>
      </c>
      <c r="N498" t="str">
        <f t="shared" si="14"/>
        <v>Baja Actividad</v>
      </c>
      <c r="O498" t="str">
        <f t="shared" si="15"/>
        <v>Alto Sedentarismo</v>
      </c>
    </row>
    <row r="499" spans="1:15" x14ac:dyDescent="0.3">
      <c r="A499">
        <v>4558609924</v>
      </c>
      <c r="B499" s="1">
        <v>42495</v>
      </c>
      <c r="C499">
        <v>10611</v>
      </c>
      <c r="D499" s="2">
        <v>701000022888184</v>
      </c>
      <c r="E499" s="2">
        <v>100999999046326</v>
      </c>
      <c r="F499" t="s">
        <v>44</v>
      </c>
      <c r="G499" s="2">
        <v>551000022888184</v>
      </c>
      <c r="H499">
        <v>0</v>
      </c>
      <c r="I499">
        <v>14</v>
      </c>
      <c r="J499">
        <v>8</v>
      </c>
      <c r="K499">
        <v>370</v>
      </c>
      <c r="L499">
        <v>1048</v>
      </c>
      <c r="M499">
        <v>2262</v>
      </c>
      <c r="N499" t="str">
        <f t="shared" si="14"/>
        <v>Alta Actividad</v>
      </c>
      <c r="O499" t="str">
        <f t="shared" si="15"/>
        <v>Alto Sedentarismo</v>
      </c>
    </row>
    <row r="500" spans="1:15" x14ac:dyDescent="0.3">
      <c r="A500">
        <v>4558609924</v>
      </c>
      <c r="B500" s="1">
        <v>42526</v>
      </c>
      <c r="C500">
        <v>3755</v>
      </c>
      <c r="D500" s="2">
        <v>248000001907349</v>
      </c>
      <c r="E500">
        <v>0</v>
      </c>
      <c r="F500">
        <v>0</v>
      </c>
      <c r="G500" s="2">
        <v>248000001907349</v>
      </c>
      <c r="H500">
        <v>0</v>
      </c>
      <c r="I500">
        <v>0</v>
      </c>
      <c r="J500">
        <v>0</v>
      </c>
      <c r="K500">
        <v>202</v>
      </c>
      <c r="L500">
        <v>1238</v>
      </c>
      <c r="M500">
        <v>1722</v>
      </c>
      <c r="N500" t="str">
        <f t="shared" si="14"/>
        <v>Baja Actividad</v>
      </c>
      <c r="O500" t="str">
        <f t="shared" si="15"/>
        <v>Alto Sedentarismo</v>
      </c>
    </row>
    <row r="501" spans="1:15" x14ac:dyDescent="0.3">
      <c r="A501">
        <v>4558609924</v>
      </c>
      <c r="B501" s="1">
        <v>42556</v>
      </c>
      <c r="C501">
        <v>8237</v>
      </c>
      <c r="D501" s="2">
        <v>544000005722046</v>
      </c>
      <c r="E501" s="2">
        <v>161000001430511</v>
      </c>
      <c r="F501">
        <v>1</v>
      </c>
      <c r="G501" s="2">
        <v>282999992370605</v>
      </c>
      <c r="H501">
        <v>0</v>
      </c>
      <c r="I501">
        <v>23</v>
      </c>
      <c r="J501">
        <v>16</v>
      </c>
      <c r="K501">
        <v>233</v>
      </c>
      <c r="L501">
        <v>1116</v>
      </c>
      <c r="M501">
        <v>1973</v>
      </c>
      <c r="N501" t="str">
        <f t="shared" si="14"/>
        <v>Baja Actividad</v>
      </c>
      <c r="O501" t="str">
        <f t="shared" si="15"/>
        <v>Alto Sedentarismo</v>
      </c>
    </row>
    <row r="502" spans="1:15" x14ac:dyDescent="0.3">
      <c r="A502">
        <v>4558609924</v>
      </c>
      <c r="B502" s="1">
        <v>42587</v>
      </c>
      <c r="C502">
        <v>6543</v>
      </c>
      <c r="D502" s="2">
        <v>432999992370605</v>
      </c>
      <c r="E502" s="2">
        <v>179999995231628</v>
      </c>
      <c r="F502" t="s">
        <v>44</v>
      </c>
      <c r="G502" s="2">
        <v>201999998092651</v>
      </c>
      <c r="H502">
        <v>0</v>
      </c>
      <c r="I502">
        <v>66</v>
      </c>
      <c r="J502">
        <v>35</v>
      </c>
      <c r="K502">
        <v>238</v>
      </c>
      <c r="L502">
        <v>1019</v>
      </c>
      <c r="M502">
        <v>2666</v>
      </c>
      <c r="N502" t="str">
        <f t="shared" si="14"/>
        <v>Baja Actividad</v>
      </c>
      <c r="O502" t="str">
        <f t="shared" si="15"/>
        <v>Alto Sedentarismo</v>
      </c>
    </row>
    <row r="503" spans="1:15" x14ac:dyDescent="0.3">
      <c r="A503">
        <v>4558609924</v>
      </c>
      <c r="B503" s="1">
        <v>42618</v>
      </c>
      <c r="C503">
        <v>11451</v>
      </c>
      <c r="D503" s="2">
        <v>757000017166138</v>
      </c>
      <c r="E503" t="s">
        <v>129</v>
      </c>
      <c r="F503" s="2">
        <v>162000000476837</v>
      </c>
      <c r="G503" s="2">
        <v>551999998092651</v>
      </c>
      <c r="H503">
        <v>0</v>
      </c>
      <c r="I503">
        <v>6</v>
      </c>
      <c r="J503">
        <v>30</v>
      </c>
      <c r="K503">
        <v>339</v>
      </c>
      <c r="L503">
        <v>1065</v>
      </c>
      <c r="M503">
        <v>2223</v>
      </c>
      <c r="N503" t="str">
        <f t="shared" si="14"/>
        <v>Alta Actividad</v>
      </c>
      <c r="O503" t="str">
        <f t="shared" si="15"/>
        <v>Alto Sedentarismo</v>
      </c>
    </row>
    <row r="504" spans="1:15" x14ac:dyDescent="0.3">
      <c r="A504">
        <v>4558609924</v>
      </c>
      <c r="B504" s="1">
        <v>42648</v>
      </c>
      <c r="C504">
        <v>6435</v>
      </c>
      <c r="D504" t="s">
        <v>68</v>
      </c>
      <c r="E504" t="s">
        <v>136</v>
      </c>
      <c r="F504" s="2">
        <v>112000000476837</v>
      </c>
      <c r="G504" s="2">
        <v>239000010490417</v>
      </c>
      <c r="H504">
        <v>0</v>
      </c>
      <c r="I504">
        <v>11</v>
      </c>
      <c r="J504">
        <v>18</v>
      </c>
      <c r="K504">
        <v>220</v>
      </c>
      <c r="L504">
        <v>1191</v>
      </c>
      <c r="M504">
        <v>1889</v>
      </c>
      <c r="N504" t="str">
        <f t="shared" si="14"/>
        <v>Baja Actividad</v>
      </c>
      <c r="O504" t="str">
        <f t="shared" si="15"/>
        <v>Alto Sedentarismo</v>
      </c>
    </row>
    <row r="505" spans="1:15" x14ac:dyDescent="0.3">
      <c r="A505">
        <v>4558609924</v>
      </c>
      <c r="B505" s="1">
        <v>42679</v>
      </c>
      <c r="C505">
        <v>9108</v>
      </c>
      <c r="D505" s="2">
        <v>601999998092651</v>
      </c>
      <c r="E505" t="s">
        <v>85</v>
      </c>
      <c r="F505" s="2">
        <v>182000005245209</v>
      </c>
      <c r="G505" s="2">
        <v>394000005722046</v>
      </c>
      <c r="H505">
        <v>0</v>
      </c>
      <c r="I505">
        <v>4</v>
      </c>
      <c r="J505">
        <v>31</v>
      </c>
      <c r="K505">
        <v>324</v>
      </c>
      <c r="L505">
        <v>1081</v>
      </c>
      <c r="M505">
        <v>2131</v>
      </c>
      <c r="N505" t="str">
        <f t="shared" si="14"/>
        <v>Baja Actividad</v>
      </c>
      <c r="O505" t="str">
        <f t="shared" si="15"/>
        <v>Alto Sedentarismo</v>
      </c>
    </row>
    <row r="506" spans="1:15" x14ac:dyDescent="0.3">
      <c r="A506">
        <v>4558609924</v>
      </c>
      <c r="B506" s="1">
        <v>42709</v>
      </c>
      <c r="C506">
        <v>6307</v>
      </c>
      <c r="D506" s="2">
        <v>417000007629395</v>
      </c>
      <c r="E506">
        <v>0</v>
      </c>
      <c r="F506">
        <v>0</v>
      </c>
      <c r="G506" s="2">
        <v>417000007629395</v>
      </c>
      <c r="H506">
        <v>0</v>
      </c>
      <c r="I506">
        <v>0</v>
      </c>
      <c r="J506">
        <v>0</v>
      </c>
      <c r="K506">
        <v>247</v>
      </c>
      <c r="L506">
        <v>736</v>
      </c>
      <c r="M506">
        <v>1452</v>
      </c>
      <c r="N506" t="str">
        <f t="shared" si="14"/>
        <v>Baja Actividad</v>
      </c>
      <c r="O506" t="str">
        <f t="shared" si="15"/>
        <v>Alto Sedentarismo</v>
      </c>
    </row>
    <row r="507" spans="1:15" x14ac:dyDescent="0.3">
      <c r="A507">
        <v>4702921684</v>
      </c>
      <c r="B507" s="1">
        <v>42708</v>
      </c>
      <c r="C507">
        <v>7213</v>
      </c>
      <c r="D507" s="2">
        <v>588000011444092</v>
      </c>
      <c r="E507">
        <v>0</v>
      </c>
      <c r="F507">
        <v>0</v>
      </c>
      <c r="G507" s="2">
        <v>584999990463257</v>
      </c>
      <c r="H507">
        <v>0</v>
      </c>
      <c r="I507">
        <v>0</v>
      </c>
      <c r="J507">
        <v>0</v>
      </c>
      <c r="K507">
        <v>263</v>
      </c>
      <c r="L507">
        <v>718</v>
      </c>
      <c r="M507">
        <v>2947</v>
      </c>
      <c r="N507" t="str">
        <f t="shared" si="14"/>
        <v>Baja Actividad</v>
      </c>
      <c r="O507" t="str">
        <f t="shared" si="15"/>
        <v>Alto Sedentarismo</v>
      </c>
    </row>
    <row r="508" spans="1:15" x14ac:dyDescent="0.3">
      <c r="A508">
        <v>4702921684</v>
      </c>
      <c r="B508" t="s">
        <v>15</v>
      </c>
      <c r="C508">
        <v>6877</v>
      </c>
      <c r="D508" s="2">
        <v>557999992370605</v>
      </c>
      <c r="E508">
        <v>0</v>
      </c>
      <c r="F508">
        <v>0</v>
      </c>
      <c r="G508" s="2">
        <v>557999992370605</v>
      </c>
      <c r="H508">
        <v>0</v>
      </c>
      <c r="I508">
        <v>0</v>
      </c>
      <c r="J508">
        <v>0</v>
      </c>
      <c r="K508">
        <v>258</v>
      </c>
      <c r="L508">
        <v>777</v>
      </c>
      <c r="M508">
        <v>2898</v>
      </c>
      <c r="N508" t="str">
        <f t="shared" si="14"/>
        <v>Baja Actividad</v>
      </c>
      <c r="O508" t="str">
        <f t="shared" si="15"/>
        <v>Alto Sedentarismo</v>
      </c>
    </row>
    <row r="509" spans="1:15" x14ac:dyDescent="0.3">
      <c r="A509">
        <v>4702921684</v>
      </c>
      <c r="B509" t="s">
        <v>17</v>
      </c>
      <c r="C509">
        <v>7860</v>
      </c>
      <c r="D509" s="2">
        <v>636999988555908</v>
      </c>
      <c r="E509">
        <v>0</v>
      </c>
      <c r="F509">
        <v>0</v>
      </c>
      <c r="G509" s="2">
        <v>636999988555908</v>
      </c>
      <c r="H509">
        <v>0</v>
      </c>
      <c r="I509">
        <v>0</v>
      </c>
      <c r="J509">
        <v>0</v>
      </c>
      <c r="K509">
        <v>271</v>
      </c>
      <c r="L509">
        <v>772</v>
      </c>
      <c r="M509">
        <v>2984</v>
      </c>
      <c r="N509" t="str">
        <f t="shared" si="14"/>
        <v>Baja Actividad</v>
      </c>
      <c r="O509" t="str">
        <f t="shared" si="15"/>
        <v>Alto Sedentarismo</v>
      </c>
    </row>
    <row r="510" spans="1:15" x14ac:dyDescent="0.3">
      <c r="A510">
        <v>4702921684</v>
      </c>
      <c r="B510" t="s">
        <v>19</v>
      </c>
      <c r="C510">
        <v>6506</v>
      </c>
      <c r="D510" s="2">
        <v>528000020980835</v>
      </c>
      <c r="E510" t="s">
        <v>74</v>
      </c>
      <c r="F510" t="s">
        <v>102</v>
      </c>
      <c r="G510" s="2">
        <v>478999996185303</v>
      </c>
      <c r="H510">
        <v>0</v>
      </c>
      <c r="I510">
        <v>1</v>
      </c>
      <c r="J510">
        <v>8</v>
      </c>
      <c r="K510">
        <v>256</v>
      </c>
      <c r="L510">
        <v>944</v>
      </c>
      <c r="M510">
        <v>2896</v>
      </c>
      <c r="N510" t="str">
        <f t="shared" si="14"/>
        <v>Baja Actividad</v>
      </c>
      <c r="O510" t="str">
        <f t="shared" si="15"/>
        <v>Alto Sedentarismo</v>
      </c>
    </row>
    <row r="511" spans="1:15" x14ac:dyDescent="0.3">
      <c r="A511">
        <v>4702921684</v>
      </c>
      <c r="B511" t="s">
        <v>20</v>
      </c>
      <c r="C511">
        <v>11140</v>
      </c>
      <c r="D511" s="2">
        <v>902999973297119</v>
      </c>
      <c r="E511" t="s">
        <v>72</v>
      </c>
      <c r="F511" t="s">
        <v>139</v>
      </c>
      <c r="G511" s="2">
        <v>753999996185303</v>
      </c>
      <c r="H511">
        <v>0</v>
      </c>
      <c r="I511">
        <v>3</v>
      </c>
      <c r="J511">
        <v>24</v>
      </c>
      <c r="K511">
        <v>335</v>
      </c>
      <c r="L511">
        <v>556</v>
      </c>
      <c r="M511">
        <v>3328</v>
      </c>
      <c r="N511" t="str">
        <f t="shared" si="14"/>
        <v>Alta Actividad</v>
      </c>
      <c r="O511" t="str">
        <f t="shared" si="15"/>
        <v>Bajo Sedentarismo</v>
      </c>
    </row>
    <row r="512" spans="1:15" x14ac:dyDescent="0.3">
      <c r="A512">
        <v>4702921684</v>
      </c>
      <c r="B512" t="s">
        <v>22</v>
      </c>
      <c r="C512">
        <v>12692</v>
      </c>
      <c r="D512" s="2">
        <v>10289999961853</v>
      </c>
      <c r="E512" t="s">
        <v>105</v>
      </c>
      <c r="F512" s="2">
        <v>346000003814697</v>
      </c>
      <c r="G512" s="2">
        <v>588000011444092</v>
      </c>
      <c r="H512">
        <v>0</v>
      </c>
      <c r="I512">
        <v>12</v>
      </c>
      <c r="J512">
        <v>66</v>
      </c>
      <c r="K512">
        <v>302</v>
      </c>
      <c r="L512">
        <v>437</v>
      </c>
      <c r="M512">
        <v>3394</v>
      </c>
      <c r="N512" t="str">
        <f t="shared" si="14"/>
        <v>Alta Actividad</v>
      </c>
      <c r="O512" t="str">
        <f t="shared" si="15"/>
        <v>Bajo Sedentarismo</v>
      </c>
    </row>
    <row r="513" spans="1:15" x14ac:dyDescent="0.3">
      <c r="A513">
        <v>4702921684</v>
      </c>
      <c r="B513" t="s">
        <v>24</v>
      </c>
      <c r="C513">
        <v>9105</v>
      </c>
      <c r="D513" s="2">
        <v>738000011444092</v>
      </c>
      <c r="E513" s="2">
        <v>182000005245209</v>
      </c>
      <c r="F513" s="2">
        <v>149000000953674</v>
      </c>
      <c r="G513" s="2">
        <v>407000017166138</v>
      </c>
      <c r="H513">
        <v>0</v>
      </c>
      <c r="I513">
        <v>22</v>
      </c>
      <c r="J513">
        <v>30</v>
      </c>
      <c r="K513">
        <v>191</v>
      </c>
      <c r="L513">
        <v>890</v>
      </c>
      <c r="M513">
        <v>3013</v>
      </c>
      <c r="N513" t="str">
        <f t="shared" si="14"/>
        <v>Baja Actividad</v>
      </c>
      <c r="O513" t="str">
        <f t="shared" si="15"/>
        <v>Alto Sedentarismo</v>
      </c>
    </row>
    <row r="514" spans="1:15" x14ac:dyDescent="0.3">
      <c r="A514">
        <v>4702921684</v>
      </c>
      <c r="B514" t="s">
        <v>27</v>
      </c>
      <c r="C514">
        <v>6708</v>
      </c>
      <c r="D514" s="2">
        <v>544000005722046</v>
      </c>
      <c r="E514" t="s">
        <v>66</v>
      </c>
      <c r="F514" t="s">
        <v>117</v>
      </c>
      <c r="G514" s="2">
        <v>419000005722046</v>
      </c>
      <c r="H514">
        <v>0</v>
      </c>
      <c r="I514">
        <v>10</v>
      </c>
      <c r="J514">
        <v>8</v>
      </c>
      <c r="K514">
        <v>179</v>
      </c>
      <c r="L514">
        <v>757</v>
      </c>
      <c r="M514">
        <v>2812</v>
      </c>
      <c r="N514" t="str">
        <f t="shared" si="14"/>
        <v>Baja Actividad</v>
      </c>
      <c r="O514" t="str">
        <f t="shared" si="15"/>
        <v>Alto Sedentarismo</v>
      </c>
    </row>
    <row r="515" spans="1:15" x14ac:dyDescent="0.3">
      <c r="A515">
        <v>4702921684</v>
      </c>
      <c r="B515" t="s">
        <v>28</v>
      </c>
      <c r="C515">
        <v>8793</v>
      </c>
      <c r="D515" s="2">
        <v>713000011444092</v>
      </c>
      <c r="E515" t="s">
        <v>113</v>
      </c>
      <c r="F515" s="2">
        <v>123000001907349</v>
      </c>
      <c r="G515" s="2">
        <v>573000001907349</v>
      </c>
      <c r="H515">
        <v>0</v>
      </c>
      <c r="I515">
        <v>2</v>
      </c>
      <c r="J515">
        <v>29</v>
      </c>
      <c r="K515">
        <v>260</v>
      </c>
      <c r="L515">
        <v>717</v>
      </c>
      <c r="M515">
        <v>3061</v>
      </c>
      <c r="N515" t="str">
        <f t="shared" ref="N515:N578" si="16">IF(C515&gt;=10000, "Alta Actividad", "Baja Actividad")</f>
        <v>Baja Actividad</v>
      </c>
      <c r="O515" t="str">
        <f t="shared" ref="O515:O578" si="17">IF(L515&gt;=700, "Alto Sedentarismo",  "Bajo Sedentarismo")</f>
        <v>Alto Sedentarismo</v>
      </c>
    </row>
    <row r="516" spans="1:15" x14ac:dyDescent="0.3">
      <c r="A516">
        <v>4702921684</v>
      </c>
      <c r="B516" t="s">
        <v>30</v>
      </c>
      <c r="C516">
        <v>6530</v>
      </c>
      <c r="D516" s="2">
        <v>530000019073486</v>
      </c>
      <c r="E516" t="s">
        <v>75</v>
      </c>
      <c r="F516" s="2">
        <v>204999995231628</v>
      </c>
      <c r="G516" s="2">
        <v>294000005722046</v>
      </c>
      <c r="H516">
        <v>0</v>
      </c>
      <c r="I516">
        <v>4</v>
      </c>
      <c r="J516">
        <v>41</v>
      </c>
      <c r="K516">
        <v>144</v>
      </c>
      <c r="L516">
        <v>901</v>
      </c>
      <c r="M516">
        <v>2729</v>
      </c>
      <c r="N516" t="str">
        <f t="shared" si="16"/>
        <v>Baja Actividad</v>
      </c>
      <c r="O516" t="str">
        <f t="shared" si="17"/>
        <v>Alto Sedentarismo</v>
      </c>
    </row>
    <row r="517" spans="1:15" x14ac:dyDescent="0.3">
      <c r="A517">
        <v>4702921684</v>
      </c>
      <c r="B517" t="s">
        <v>32</v>
      </c>
      <c r="C517">
        <v>1664</v>
      </c>
      <c r="D517" s="2">
        <v>135000002384186</v>
      </c>
      <c r="E517">
        <v>0</v>
      </c>
      <c r="F517">
        <v>0</v>
      </c>
      <c r="G517" s="2">
        <v>135000002384186</v>
      </c>
      <c r="H517">
        <v>0</v>
      </c>
      <c r="I517">
        <v>0</v>
      </c>
      <c r="J517">
        <v>0</v>
      </c>
      <c r="K517">
        <v>72</v>
      </c>
      <c r="L517">
        <v>1341</v>
      </c>
      <c r="M517">
        <v>2241</v>
      </c>
      <c r="N517" t="str">
        <f t="shared" si="16"/>
        <v>Baja Actividad</v>
      </c>
      <c r="O517" t="str">
        <f t="shared" si="17"/>
        <v>Alto Sedentarismo</v>
      </c>
    </row>
    <row r="518" spans="1:15" x14ac:dyDescent="0.3">
      <c r="A518">
        <v>4702921684</v>
      </c>
      <c r="B518" t="s">
        <v>33</v>
      </c>
      <c r="C518">
        <v>15126</v>
      </c>
      <c r="D518" s="2">
        <v>122700004577637</v>
      </c>
      <c r="E518" t="s">
        <v>143</v>
      </c>
      <c r="F518" s="2">
        <v>324000000953674</v>
      </c>
      <c r="G518" s="2">
        <v>827000045776367</v>
      </c>
      <c r="H518">
        <v>0</v>
      </c>
      <c r="I518">
        <v>9</v>
      </c>
      <c r="J518">
        <v>66</v>
      </c>
      <c r="K518">
        <v>408</v>
      </c>
      <c r="L518">
        <v>469</v>
      </c>
      <c r="M518">
        <v>3691</v>
      </c>
      <c r="N518" t="str">
        <f t="shared" si="16"/>
        <v>Alta Actividad</v>
      </c>
      <c r="O518" t="str">
        <f t="shared" si="17"/>
        <v>Bajo Sedentarismo</v>
      </c>
    </row>
    <row r="519" spans="1:15" x14ac:dyDescent="0.3">
      <c r="A519">
        <v>4702921684</v>
      </c>
      <c r="B519" t="s">
        <v>35</v>
      </c>
      <c r="C519">
        <v>15050</v>
      </c>
      <c r="D519" s="2">
        <v>122200002670288</v>
      </c>
      <c r="E519" s="2">
        <v>120000004768372</v>
      </c>
      <c r="F519" s="2">
        <v>511999988555908</v>
      </c>
      <c r="G519" s="2">
        <v>588000011444092</v>
      </c>
      <c r="H519">
        <v>0</v>
      </c>
      <c r="I519">
        <v>15</v>
      </c>
      <c r="J519">
        <v>95</v>
      </c>
      <c r="K519">
        <v>281</v>
      </c>
      <c r="L519">
        <v>542</v>
      </c>
      <c r="M519">
        <v>3538</v>
      </c>
      <c r="N519" t="str">
        <f t="shared" si="16"/>
        <v>Alta Actividad</v>
      </c>
      <c r="O519" t="str">
        <f t="shared" si="17"/>
        <v>Bajo Sedentarismo</v>
      </c>
    </row>
    <row r="520" spans="1:15" x14ac:dyDescent="0.3">
      <c r="A520">
        <v>4702921684</v>
      </c>
      <c r="B520" t="s">
        <v>37</v>
      </c>
      <c r="C520">
        <v>9167</v>
      </c>
      <c r="D520" s="2">
        <v>742999982833862</v>
      </c>
      <c r="E520" t="s">
        <v>115</v>
      </c>
      <c r="F520" t="s">
        <v>79</v>
      </c>
      <c r="G520" s="2">
        <v>61100001335144</v>
      </c>
      <c r="H520">
        <v>0</v>
      </c>
      <c r="I520">
        <v>6</v>
      </c>
      <c r="J520">
        <v>15</v>
      </c>
      <c r="K520">
        <v>270</v>
      </c>
      <c r="L520">
        <v>730</v>
      </c>
      <c r="M520">
        <v>3064</v>
      </c>
      <c r="N520" t="str">
        <f t="shared" si="16"/>
        <v>Baja Actividad</v>
      </c>
      <c r="O520" t="str">
        <f t="shared" si="17"/>
        <v>Alto Sedentarismo</v>
      </c>
    </row>
    <row r="521" spans="1:15" x14ac:dyDescent="0.3">
      <c r="A521">
        <v>4702921684</v>
      </c>
      <c r="B521" t="s">
        <v>39</v>
      </c>
      <c r="C521">
        <v>6108</v>
      </c>
      <c r="D521" s="2">
        <v>494999980926514</v>
      </c>
      <c r="E521" t="s">
        <v>74</v>
      </c>
      <c r="F521" t="s">
        <v>31</v>
      </c>
      <c r="G521" s="2">
        <v>453999996185303</v>
      </c>
      <c r="H521">
        <v>0</v>
      </c>
      <c r="I521">
        <v>1</v>
      </c>
      <c r="J521">
        <v>8</v>
      </c>
      <c r="K521">
        <v>216</v>
      </c>
      <c r="L521">
        <v>765</v>
      </c>
      <c r="M521">
        <v>2784</v>
      </c>
      <c r="N521" t="str">
        <f t="shared" si="16"/>
        <v>Baja Actividad</v>
      </c>
      <c r="O521" t="str">
        <f t="shared" si="17"/>
        <v>Alto Sedentarismo</v>
      </c>
    </row>
    <row r="522" spans="1:15" x14ac:dyDescent="0.3">
      <c r="A522">
        <v>4702921684</v>
      </c>
      <c r="B522" t="s">
        <v>41</v>
      </c>
      <c r="C522">
        <v>7047</v>
      </c>
      <c r="D522" s="2">
        <v>571999979019165</v>
      </c>
      <c r="E522" t="s">
        <v>125</v>
      </c>
      <c r="F522" t="s">
        <v>70</v>
      </c>
      <c r="G522" s="2">
        <v>478000020980835</v>
      </c>
      <c r="H522">
        <v>0</v>
      </c>
      <c r="I522">
        <v>1</v>
      </c>
      <c r="J522">
        <v>16</v>
      </c>
      <c r="K522">
        <v>238</v>
      </c>
      <c r="L522">
        <v>733</v>
      </c>
      <c r="M522">
        <v>2908</v>
      </c>
      <c r="N522" t="str">
        <f t="shared" si="16"/>
        <v>Baja Actividad</v>
      </c>
      <c r="O522" t="str">
        <f t="shared" si="17"/>
        <v>Alto Sedentarismo</v>
      </c>
    </row>
    <row r="523" spans="1:15" x14ac:dyDescent="0.3">
      <c r="A523">
        <v>4702921684</v>
      </c>
      <c r="B523" t="s">
        <v>42</v>
      </c>
      <c r="C523">
        <v>9023</v>
      </c>
      <c r="D523" s="2">
        <v>732000017166138</v>
      </c>
      <c r="E523" s="2">
        <v>112999999523163</v>
      </c>
      <c r="F523" t="s">
        <v>102</v>
      </c>
      <c r="G523" s="2">
        <v>576999998092651</v>
      </c>
      <c r="H523">
        <v>0</v>
      </c>
      <c r="I523">
        <v>14</v>
      </c>
      <c r="J523">
        <v>9</v>
      </c>
      <c r="K523">
        <v>232</v>
      </c>
      <c r="L523">
        <v>738</v>
      </c>
      <c r="M523">
        <v>3033</v>
      </c>
      <c r="N523" t="str">
        <f t="shared" si="16"/>
        <v>Baja Actividad</v>
      </c>
      <c r="O523" t="str">
        <f t="shared" si="17"/>
        <v>Alto Sedentarismo</v>
      </c>
    </row>
    <row r="524" spans="1:15" x14ac:dyDescent="0.3">
      <c r="A524">
        <v>4702921684</v>
      </c>
      <c r="B524" t="s">
        <v>43</v>
      </c>
      <c r="C524">
        <v>9930</v>
      </c>
      <c r="D524" s="2">
        <v>805000019073486</v>
      </c>
      <c r="E524" s="2">
        <v>105999994277954</v>
      </c>
      <c r="F524" t="s">
        <v>40</v>
      </c>
      <c r="G524" s="2">
        <v>607000017166138</v>
      </c>
      <c r="H524">
        <v>0</v>
      </c>
      <c r="I524">
        <v>12</v>
      </c>
      <c r="J524">
        <v>19</v>
      </c>
      <c r="K524">
        <v>267</v>
      </c>
      <c r="L524">
        <v>692</v>
      </c>
      <c r="M524">
        <v>3165</v>
      </c>
      <c r="N524" t="str">
        <f t="shared" si="16"/>
        <v>Baja Actividad</v>
      </c>
      <c r="O524" t="str">
        <f t="shared" si="17"/>
        <v>Bajo Sedentarismo</v>
      </c>
    </row>
    <row r="525" spans="1:15" x14ac:dyDescent="0.3">
      <c r="A525">
        <v>4702921684</v>
      </c>
      <c r="B525" t="s">
        <v>45</v>
      </c>
      <c r="C525">
        <v>10144</v>
      </c>
      <c r="D525" s="2">
        <v>822999954223633</v>
      </c>
      <c r="E525" t="s">
        <v>48</v>
      </c>
      <c r="F525" s="2">
        <v>202999997138977</v>
      </c>
      <c r="G525" s="2">
        <v>588000011444092</v>
      </c>
      <c r="H525">
        <v>0</v>
      </c>
      <c r="I525">
        <v>4</v>
      </c>
      <c r="J525">
        <v>36</v>
      </c>
      <c r="K525">
        <v>263</v>
      </c>
      <c r="L525">
        <v>728</v>
      </c>
      <c r="M525">
        <v>3115</v>
      </c>
      <c r="N525" t="str">
        <f t="shared" si="16"/>
        <v>Alta Actividad</v>
      </c>
      <c r="O525" t="str">
        <f t="shared" si="17"/>
        <v>Alto Sedentarismo</v>
      </c>
    </row>
    <row r="526" spans="1:15" x14ac:dyDescent="0.3">
      <c r="A526">
        <v>4702921684</v>
      </c>
      <c r="B526" s="1">
        <v>42374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1440</v>
      </c>
      <c r="M526">
        <v>2017</v>
      </c>
      <c r="N526" t="str">
        <f t="shared" si="16"/>
        <v>Baja Actividad</v>
      </c>
      <c r="O526" t="str">
        <f t="shared" si="17"/>
        <v>Alto Sedentarismo</v>
      </c>
    </row>
    <row r="527" spans="1:15" x14ac:dyDescent="0.3">
      <c r="A527">
        <v>4702921684</v>
      </c>
      <c r="B527" s="1">
        <v>42405</v>
      </c>
      <c r="C527">
        <v>7245</v>
      </c>
      <c r="D527" s="2">
        <v>592000007629395</v>
      </c>
      <c r="E527" t="s">
        <v>114</v>
      </c>
      <c r="F527" s="2">
        <v>174000000953674</v>
      </c>
      <c r="G527" s="2">
        <v>375999999046326</v>
      </c>
      <c r="H527">
        <v>0</v>
      </c>
      <c r="I527">
        <v>5</v>
      </c>
      <c r="J527">
        <v>40</v>
      </c>
      <c r="K527">
        <v>195</v>
      </c>
      <c r="L527">
        <v>1131</v>
      </c>
      <c r="M527">
        <v>2859</v>
      </c>
      <c r="N527" t="str">
        <f t="shared" si="16"/>
        <v>Baja Actividad</v>
      </c>
      <c r="O527" t="str">
        <f t="shared" si="17"/>
        <v>Alto Sedentarismo</v>
      </c>
    </row>
    <row r="528" spans="1:15" x14ac:dyDescent="0.3">
      <c r="A528">
        <v>4702921684</v>
      </c>
      <c r="B528" s="1">
        <v>42434</v>
      </c>
      <c r="C528">
        <v>9454</v>
      </c>
      <c r="D528" s="2">
        <v>767000007629395</v>
      </c>
      <c r="E528">
        <v>0</v>
      </c>
      <c r="F528">
        <v>0</v>
      </c>
      <c r="G528" s="2">
        <v>767000007629395</v>
      </c>
      <c r="H528">
        <v>0</v>
      </c>
      <c r="I528">
        <v>0</v>
      </c>
      <c r="J528">
        <v>0</v>
      </c>
      <c r="K528">
        <v>313</v>
      </c>
      <c r="L528">
        <v>729</v>
      </c>
      <c r="M528">
        <v>3145</v>
      </c>
      <c r="N528" t="str">
        <f t="shared" si="16"/>
        <v>Baja Actividad</v>
      </c>
      <c r="O528" t="str">
        <f t="shared" si="17"/>
        <v>Alto Sedentarismo</v>
      </c>
    </row>
    <row r="529" spans="1:15" x14ac:dyDescent="0.3">
      <c r="A529">
        <v>4702921684</v>
      </c>
      <c r="B529" s="1">
        <v>42465</v>
      </c>
      <c r="C529">
        <v>8161</v>
      </c>
      <c r="D529" s="2">
        <v>661999988555908</v>
      </c>
      <c r="E529" t="s">
        <v>107</v>
      </c>
      <c r="F529" t="s">
        <v>97</v>
      </c>
      <c r="G529" s="2">
        <v>553999996185303</v>
      </c>
      <c r="H529">
        <v>0</v>
      </c>
      <c r="I529">
        <v>4</v>
      </c>
      <c r="J529">
        <v>15</v>
      </c>
      <c r="K529">
        <v>251</v>
      </c>
      <c r="L529">
        <v>757</v>
      </c>
      <c r="M529">
        <v>3004</v>
      </c>
      <c r="N529" t="str">
        <f t="shared" si="16"/>
        <v>Baja Actividad</v>
      </c>
      <c r="O529" t="str">
        <f t="shared" si="17"/>
        <v>Alto Sedentarismo</v>
      </c>
    </row>
    <row r="530" spans="1:15" x14ac:dyDescent="0.3">
      <c r="A530">
        <v>4702921684</v>
      </c>
      <c r="B530" s="1">
        <v>42495</v>
      </c>
      <c r="C530">
        <v>8614</v>
      </c>
      <c r="D530" s="2">
        <v>698999977111816</v>
      </c>
      <c r="E530" t="s">
        <v>110</v>
      </c>
      <c r="F530" t="s">
        <v>62</v>
      </c>
      <c r="G530" s="2">
        <v>609000015258789</v>
      </c>
      <c r="H530">
        <v>0</v>
      </c>
      <c r="I530">
        <v>8</v>
      </c>
      <c r="J530">
        <v>5</v>
      </c>
      <c r="K530">
        <v>241</v>
      </c>
      <c r="L530">
        <v>745</v>
      </c>
      <c r="M530">
        <v>3006</v>
      </c>
      <c r="N530" t="str">
        <f t="shared" si="16"/>
        <v>Baja Actividad</v>
      </c>
      <c r="O530" t="str">
        <f t="shared" si="17"/>
        <v>Alto Sedentarismo</v>
      </c>
    </row>
    <row r="531" spans="1:15" x14ac:dyDescent="0.3">
      <c r="A531">
        <v>4702921684</v>
      </c>
      <c r="B531" s="1">
        <v>42526</v>
      </c>
      <c r="C531">
        <v>6943</v>
      </c>
      <c r="D531" s="2">
        <v>563000011444092</v>
      </c>
      <c r="E531" t="s">
        <v>111</v>
      </c>
      <c r="F531" t="s">
        <v>101</v>
      </c>
      <c r="G531" s="2">
        <v>486999988555908</v>
      </c>
      <c r="H531">
        <v>0</v>
      </c>
      <c r="I531">
        <v>1</v>
      </c>
      <c r="J531">
        <v>16</v>
      </c>
      <c r="K531">
        <v>207</v>
      </c>
      <c r="L531">
        <v>682</v>
      </c>
      <c r="M531">
        <v>2859</v>
      </c>
      <c r="N531" t="str">
        <f t="shared" si="16"/>
        <v>Baja Actividad</v>
      </c>
      <c r="O531" t="str">
        <f t="shared" si="17"/>
        <v>Bajo Sedentarismo</v>
      </c>
    </row>
    <row r="532" spans="1:15" x14ac:dyDescent="0.3">
      <c r="A532">
        <v>4702921684</v>
      </c>
      <c r="B532" s="1">
        <v>42556</v>
      </c>
      <c r="C532">
        <v>14370</v>
      </c>
      <c r="D532" s="2">
        <v>116499996185303</v>
      </c>
      <c r="E532" t="s">
        <v>117</v>
      </c>
      <c r="F532" s="2">
        <v>230999994277954</v>
      </c>
      <c r="G532" s="2">
        <v>897000026702881</v>
      </c>
      <c r="H532">
        <v>0</v>
      </c>
      <c r="I532">
        <v>5</v>
      </c>
      <c r="J532">
        <v>46</v>
      </c>
      <c r="K532">
        <v>439</v>
      </c>
      <c r="L532">
        <v>577</v>
      </c>
      <c r="M532">
        <v>3683</v>
      </c>
      <c r="N532" t="str">
        <f t="shared" si="16"/>
        <v>Alta Actividad</v>
      </c>
      <c r="O532" t="str">
        <f t="shared" si="17"/>
        <v>Bajo Sedentarismo</v>
      </c>
    </row>
    <row r="533" spans="1:15" x14ac:dyDescent="0.3">
      <c r="A533">
        <v>4702921684</v>
      </c>
      <c r="B533" s="1">
        <v>42587</v>
      </c>
      <c r="C533">
        <v>12857</v>
      </c>
      <c r="D533" s="2">
        <v>104300003051758</v>
      </c>
      <c r="E533" t="s">
        <v>91</v>
      </c>
      <c r="F533" s="2">
        <v>621000003814697</v>
      </c>
      <c r="G533" s="2">
        <v>353999996185303</v>
      </c>
      <c r="H533">
        <v>0</v>
      </c>
      <c r="I533">
        <v>9</v>
      </c>
      <c r="J533">
        <v>125</v>
      </c>
      <c r="K533">
        <v>192</v>
      </c>
      <c r="L533">
        <v>1019</v>
      </c>
      <c r="M533">
        <v>3287</v>
      </c>
      <c r="N533" t="str">
        <f t="shared" si="16"/>
        <v>Alta Actividad</v>
      </c>
      <c r="O533" t="str">
        <f t="shared" si="17"/>
        <v>Alto Sedentarismo</v>
      </c>
    </row>
    <row r="534" spans="1:15" x14ac:dyDescent="0.3">
      <c r="A534">
        <v>4702921684</v>
      </c>
      <c r="B534" s="1">
        <v>42618</v>
      </c>
      <c r="C534">
        <v>8232</v>
      </c>
      <c r="D534" s="2">
        <v>667999982833862</v>
      </c>
      <c r="E534">
        <v>0</v>
      </c>
      <c r="F534" t="s">
        <v>38</v>
      </c>
      <c r="G534" s="2">
        <v>609999990463257</v>
      </c>
      <c r="H534">
        <v>0</v>
      </c>
      <c r="I534">
        <v>0</v>
      </c>
      <c r="J534">
        <v>12</v>
      </c>
      <c r="K534">
        <v>253</v>
      </c>
      <c r="L534">
        <v>746</v>
      </c>
      <c r="M534">
        <v>2990</v>
      </c>
      <c r="N534" t="str">
        <f t="shared" si="16"/>
        <v>Baja Actividad</v>
      </c>
      <c r="O534" t="str">
        <f t="shared" si="17"/>
        <v>Alto Sedentarismo</v>
      </c>
    </row>
    <row r="535" spans="1:15" x14ac:dyDescent="0.3">
      <c r="A535">
        <v>4702921684</v>
      </c>
      <c r="B535" s="1">
        <v>42648</v>
      </c>
      <c r="C535">
        <v>10613</v>
      </c>
      <c r="D535" s="2">
        <v>860999965667725</v>
      </c>
      <c r="E535" t="s">
        <v>111</v>
      </c>
      <c r="F535" s="2">
        <v>187999999523163</v>
      </c>
      <c r="G535" s="2">
        <v>665000009536743</v>
      </c>
      <c r="H535">
        <v>0</v>
      </c>
      <c r="I535">
        <v>1</v>
      </c>
      <c r="J535">
        <v>37</v>
      </c>
      <c r="K535">
        <v>262</v>
      </c>
      <c r="L535">
        <v>701</v>
      </c>
      <c r="M535">
        <v>3172</v>
      </c>
      <c r="N535" t="str">
        <f t="shared" si="16"/>
        <v>Alta Actividad</v>
      </c>
      <c r="O535" t="str">
        <f t="shared" si="17"/>
        <v>Alto Sedentarismo</v>
      </c>
    </row>
    <row r="536" spans="1:15" x14ac:dyDescent="0.3">
      <c r="A536">
        <v>4702921684</v>
      </c>
      <c r="B536" s="1">
        <v>42679</v>
      </c>
      <c r="C536">
        <v>9810</v>
      </c>
      <c r="D536" s="2">
        <v>796000003814697</v>
      </c>
      <c r="E536" t="s">
        <v>23</v>
      </c>
      <c r="F536" s="2">
        <v>216000008583069</v>
      </c>
      <c r="G536" s="2">
        <v>498000001907349</v>
      </c>
      <c r="H536">
        <v>0</v>
      </c>
      <c r="I536">
        <v>10</v>
      </c>
      <c r="J536">
        <v>41</v>
      </c>
      <c r="K536">
        <v>235</v>
      </c>
      <c r="L536">
        <v>784</v>
      </c>
      <c r="M536">
        <v>3069</v>
      </c>
      <c r="N536" t="str">
        <f t="shared" si="16"/>
        <v>Baja Actividad</v>
      </c>
      <c r="O536" t="str">
        <f t="shared" si="17"/>
        <v>Alto Sedentarismo</v>
      </c>
    </row>
    <row r="537" spans="1:15" x14ac:dyDescent="0.3">
      <c r="A537">
        <v>4702921684</v>
      </c>
      <c r="B537" s="1">
        <v>42709</v>
      </c>
      <c r="C537">
        <v>2752</v>
      </c>
      <c r="D537" s="2">
        <v>223000001907349</v>
      </c>
      <c r="E537">
        <v>0</v>
      </c>
      <c r="F537">
        <v>0</v>
      </c>
      <c r="G537" s="2">
        <v>223000001907349</v>
      </c>
      <c r="H537">
        <v>0</v>
      </c>
      <c r="I537">
        <v>0</v>
      </c>
      <c r="J537">
        <v>0</v>
      </c>
      <c r="K537">
        <v>68</v>
      </c>
      <c r="L537">
        <v>241</v>
      </c>
      <c r="M537">
        <v>1240</v>
      </c>
      <c r="N537" t="str">
        <f t="shared" si="16"/>
        <v>Baja Actividad</v>
      </c>
      <c r="O537" t="str">
        <f t="shared" si="17"/>
        <v>Bajo Sedentarismo</v>
      </c>
    </row>
    <row r="538" spans="1:15" x14ac:dyDescent="0.3">
      <c r="A538">
        <v>5553957443</v>
      </c>
      <c r="B538" s="1">
        <v>42708</v>
      </c>
      <c r="C538">
        <v>11596</v>
      </c>
      <c r="D538" s="2">
        <v>757000017166138</v>
      </c>
      <c r="E538" s="2">
        <v>137000000476837</v>
      </c>
      <c r="F538" t="s">
        <v>81</v>
      </c>
      <c r="G538" s="2">
        <v>540999984741211</v>
      </c>
      <c r="H538">
        <v>0</v>
      </c>
      <c r="I538">
        <v>19</v>
      </c>
      <c r="J538">
        <v>13</v>
      </c>
      <c r="K538">
        <v>277</v>
      </c>
      <c r="L538">
        <v>767</v>
      </c>
      <c r="M538">
        <v>2026</v>
      </c>
      <c r="N538" t="str">
        <f t="shared" si="16"/>
        <v>Alta Actividad</v>
      </c>
      <c r="O538" t="str">
        <f t="shared" si="17"/>
        <v>Alto Sedentarismo</v>
      </c>
    </row>
    <row r="539" spans="1:15" x14ac:dyDescent="0.3">
      <c r="A539">
        <v>5553957443</v>
      </c>
      <c r="B539" t="s">
        <v>15</v>
      </c>
      <c r="C539">
        <v>4832</v>
      </c>
      <c r="D539" s="2">
        <v>316000008583069</v>
      </c>
      <c r="E539">
        <v>0</v>
      </c>
      <c r="F539">
        <v>0</v>
      </c>
      <c r="G539" s="2">
        <v>316000008583069</v>
      </c>
      <c r="H539">
        <v>0</v>
      </c>
      <c r="I539">
        <v>0</v>
      </c>
      <c r="J539">
        <v>0</v>
      </c>
      <c r="K539">
        <v>226</v>
      </c>
      <c r="L539">
        <v>647</v>
      </c>
      <c r="M539">
        <v>1718</v>
      </c>
      <c r="N539" t="str">
        <f t="shared" si="16"/>
        <v>Baja Actividad</v>
      </c>
      <c r="O539" t="str">
        <f t="shared" si="17"/>
        <v>Bajo Sedentarismo</v>
      </c>
    </row>
    <row r="540" spans="1:15" x14ac:dyDescent="0.3">
      <c r="A540">
        <v>5553957443</v>
      </c>
      <c r="B540" t="s">
        <v>17</v>
      </c>
      <c r="C540">
        <v>17022</v>
      </c>
      <c r="D540" s="2">
        <v>111199998855591</v>
      </c>
      <c r="E540">
        <v>4</v>
      </c>
      <c r="F540" s="2">
        <v>245000004768372</v>
      </c>
      <c r="G540" s="2">
        <v>467000007629395</v>
      </c>
      <c r="H540">
        <v>0</v>
      </c>
      <c r="I540">
        <v>61</v>
      </c>
      <c r="J540">
        <v>41</v>
      </c>
      <c r="K540">
        <v>256</v>
      </c>
      <c r="L540">
        <v>693</v>
      </c>
      <c r="M540">
        <v>2324</v>
      </c>
      <c r="N540" t="str">
        <f t="shared" si="16"/>
        <v>Alta Actividad</v>
      </c>
      <c r="O540" t="str">
        <f t="shared" si="17"/>
        <v>Bajo Sedentarismo</v>
      </c>
    </row>
    <row r="541" spans="1:15" x14ac:dyDescent="0.3">
      <c r="A541">
        <v>5553957443</v>
      </c>
      <c r="B541" t="s">
        <v>19</v>
      </c>
      <c r="C541">
        <v>16556</v>
      </c>
      <c r="D541" s="2">
        <v>108599996566772</v>
      </c>
      <c r="E541" s="2">
        <v>415999984741211</v>
      </c>
      <c r="F541" s="2">
        <v>198000001907349</v>
      </c>
      <c r="G541" s="2">
        <v>471000003814697</v>
      </c>
      <c r="H541">
        <v>0</v>
      </c>
      <c r="I541">
        <v>58</v>
      </c>
      <c r="J541">
        <v>38</v>
      </c>
      <c r="K541">
        <v>239</v>
      </c>
      <c r="L541">
        <v>689</v>
      </c>
      <c r="M541">
        <v>2254</v>
      </c>
      <c r="N541" t="str">
        <f t="shared" si="16"/>
        <v>Alta Actividad</v>
      </c>
      <c r="O541" t="str">
        <f t="shared" si="17"/>
        <v>Bajo Sedentarismo</v>
      </c>
    </row>
    <row r="542" spans="1:15" x14ac:dyDescent="0.3">
      <c r="A542">
        <v>5553957443</v>
      </c>
      <c r="B542" t="s">
        <v>20</v>
      </c>
      <c r="C542">
        <v>5771</v>
      </c>
      <c r="D542" s="2">
        <v>376999998092651</v>
      </c>
      <c r="E542">
        <v>0</v>
      </c>
      <c r="F542">
        <v>0</v>
      </c>
      <c r="G542" s="2">
        <v>376999998092651</v>
      </c>
      <c r="H542">
        <v>0</v>
      </c>
      <c r="I542">
        <v>0</v>
      </c>
      <c r="J542">
        <v>0</v>
      </c>
      <c r="K542">
        <v>288</v>
      </c>
      <c r="L542">
        <v>521</v>
      </c>
      <c r="M542">
        <v>1831</v>
      </c>
      <c r="N542" t="str">
        <f t="shared" si="16"/>
        <v>Baja Actividad</v>
      </c>
      <c r="O542" t="str">
        <f t="shared" si="17"/>
        <v>Bajo Sedentarismo</v>
      </c>
    </row>
    <row r="543" spans="1:15" x14ac:dyDescent="0.3">
      <c r="A543">
        <v>5553957443</v>
      </c>
      <c r="B543" t="s">
        <v>22</v>
      </c>
      <c r="C543">
        <v>655</v>
      </c>
      <c r="D543" t="s">
        <v>129</v>
      </c>
      <c r="E543">
        <v>0</v>
      </c>
      <c r="F543">
        <v>0</v>
      </c>
      <c r="G543" t="s">
        <v>129</v>
      </c>
      <c r="H543">
        <v>0</v>
      </c>
      <c r="I543">
        <v>0</v>
      </c>
      <c r="J543">
        <v>0</v>
      </c>
      <c r="K543">
        <v>46</v>
      </c>
      <c r="L543">
        <v>943</v>
      </c>
      <c r="M543">
        <v>1397</v>
      </c>
      <c r="N543" t="str">
        <f t="shared" si="16"/>
        <v>Baja Actividad</v>
      </c>
      <c r="O543" t="str">
        <f t="shared" si="17"/>
        <v>Alto Sedentarismo</v>
      </c>
    </row>
    <row r="544" spans="1:15" x14ac:dyDescent="0.3">
      <c r="A544">
        <v>5553957443</v>
      </c>
      <c r="B544" t="s">
        <v>24</v>
      </c>
      <c r="C544">
        <v>3727</v>
      </c>
      <c r="D544" s="2">
        <v>24300000667572</v>
      </c>
      <c r="E544">
        <v>0</v>
      </c>
      <c r="F544">
        <v>0</v>
      </c>
      <c r="G544" s="2">
        <v>24300000667572</v>
      </c>
      <c r="H544">
        <v>0</v>
      </c>
      <c r="I544">
        <v>0</v>
      </c>
      <c r="J544">
        <v>0</v>
      </c>
      <c r="K544">
        <v>206</v>
      </c>
      <c r="L544">
        <v>622</v>
      </c>
      <c r="M544">
        <v>1683</v>
      </c>
      <c r="N544" t="str">
        <f t="shared" si="16"/>
        <v>Baja Actividad</v>
      </c>
      <c r="O544" t="str">
        <f t="shared" si="17"/>
        <v>Bajo Sedentarismo</v>
      </c>
    </row>
    <row r="545" spans="1:15" x14ac:dyDescent="0.3">
      <c r="A545">
        <v>5553957443</v>
      </c>
      <c r="B545" t="s">
        <v>27</v>
      </c>
      <c r="C545">
        <v>15482</v>
      </c>
      <c r="D545" s="2">
        <v>101099996566772</v>
      </c>
      <c r="E545" s="2">
        <v>428000020980835</v>
      </c>
      <c r="F545" s="2">
        <v>16599999666214</v>
      </c>
      <c r="G545" s="2">
        <v>417999982833862</v>
      </c>
      <c r="H545">
        <v>0</v>
      </c>
      <c r="I545">
        <v>69</v>
      </c>
      <c r="J545">
        <v>28</v>
      </c>
      <c r="K545">
        <v>249</v>
      </c>
      <c r="L545">
        <v>756</v>
      </c>
      <c r="M545">
        <v>2284</v>
      </c>
      <c r="N545" t="str">
        <f t="shared" si="16"/>
        <v>Alta Actividad</v>
      </c>
      <c r="O545" t="str">
        <f t="shared" si="17"/>
        <v>Alto Sedentarismo</v>
      </c>
    </row>
    <row r="546" spans="1:15" x14ac:dyDescent="0.3">
      <c r="A546">
        <v>5553957443</v>
      </c>
      <c r="B546" t="s">
        <v>28</v>
      </c>
      <c r="C546">
        <v>2713</v>
      </c>
      <c r="D546" s="2">
        <v>176999998092651</v>
      </c>
      <c r="E546">
        <v>0</v>
      </c>
      <c r="F546">
        <v>0</v>
      </c>
      <c r="G546" s="2">
        <v>176999998092651</v>
      </c>
      <c r="H546">
        <v>0</v>
      </c>
      <c r="I546">
        <v>0</v>
      </c>
      <c r="J546">
        <v>0</v>
      </c>
      <c r="K546">
        <v>148</v>
      </c>
      <c r="L546">
        <v>598</v>
      </c>
      <c r="M546">
        <v>1570</v>
      </c>
      <c r="N546" t="str">
        <f t="shared" si="16"/>
        <v>Baja Actividad</v>
      </c>
      <c r="O546" t="str">
        <f t="shared" si="17"/>
        <v>Bajo Sedentarismo</v>
      </c>
    </row>
    <row r="547" spans="1:15" x14ac:dyDescent="0.3">
      <c r="A547">
        <v>5553957443</v>
      </c>
      <c r="B547" t="s">
        <v>30</v>
      </c>
      <c r="C547">
        <v>12346</v>
      </c>
      <c r="D547" s="2">
        <v>80600004196167</v>
      </c>
      <c r="E547" s="2">
        <v>295000004768372</v>
      </c>
      <c r="F547" s="2">
        <v>216000008583069</v>
      </c>
      <c r="G547" s="2">
        <v>296000003814697</v>
      </c>
      <c r="H547">
        <v>0</v>
      </c>
      <c r="I547">
        <v>47</v>
      </c>
      <c r="J547">
        <v>42</v>
      </c>
      <c r="K547">
        <v>177</v>
      </c>
      <c r="L547">
        <v>801</v>
      </c>
      <c r="M547">
        <v>2066</v>
      </c>
      <c r="N547" t="str">
        <f t="shared" si="16"/>
        <v>Alta Actividad</v>
      </c>
      <c r="O547" t="str">
        <f t="shared" si="17"/>
        <v>Alto Sedentarismo</v>
      </c>
    </row>
    <row r="548" spans="1:15" x14ac:dyDescent="0.3">
      <c r="A548">
        <v>5553957443</v>
      </c>
      <c r="B548" t="s">
        <v>32</v>
      </c>
      <c r="C548">
        <v>11682</v>
      </c>
      <c r="D548" s="2">
        <v>763000011444092</v>
      </c>
      <c r="E548" s="2">
        <v>137999999523163</v>
      </c>
      <c r="F548" t="s">
        <v>71</v>
      </c>
      <c r="G548" s="2">
        <v>559999990463257</v>
      </c>
      <c r="H548">
        <v>0</v>
      </c>
      <c r="I548">
        <v>25</v>
      </c>
      <c r="J548">
        <v>16</v>
      </c>
      <c r="K548">
        <v>270</v>
      </c>
      <c r="L548">
        <v>781</v>
      </c>
      <c r="M548">
        <v>2105</v>
      </c>
      <c r="N548" t="str">
        <f t="shared" si="16"/>
        <v>Alta Actividad</v>
      </c>
      <c r="O548" t="str">
        <f t="shared" si="17"/>
        <v>Alto Sedentarismo</v>
      </c>
    </row>
    <row r="549" spans="1:15" x14ac:dyDescent="0.3">
      <c r="A549">
        <v>5553957443</v>
      </c>
      <c r="B549" t="s">
        <v>33</v>
      </c>
      <c r="C549">
        <v>4112</v>
      </c>
      <c r="D549" s="2">
        <v>269000005722046</v>
      </c>
      <c r="E549">
        <v>0</v>
      </c>
      <c r="F549">
        <v>0</v>
      </c>
      <c r="G549" s="2">
        <v>26800000667572</v>
      </c>
      <c r="H549">
        <v>0</v>
      </c>
      <c r="I549">
        <v>0</v>
      </c>
      <c r="J549">
        <v>0</v>
      </c>
      <c r="K549">
        <v>272</v>
      </c>
      <c r="L549">
        <v>443</v>
      </c>
      <c r="M549">
        <v>1776</v>
      </c>
      <c r="N549" t="str">
        <f t="shared" si="16"/>
        <v>Baja Actividad</v>
      </c>
      <c r="O549" t="str">
        <f t="shared" si="17"/>
        <v>Bajo Sedentarismo</v>
      </c>
    </row>
    <row r="550" spans="1:15" x14ac:dyDescent="0.3">
      <c r="A550">
        <v>5553957443</v>
      </c>
      <c r="B550" t="s">
        <v>35</v>
      </c>
      <c r="C550">
        <v>1807</v>
      </c>
      <c r="D550" s="2">
        <v>117999994754791</v>
      </c>
      <c r="E550">
        <v>0</v>
      </c>
      <c r="F550">
        <v>0</v>
      </c>
      <c r="G550" s="2">
        <v>117999994754791</v>
      </c>
      <c r="H550">
        <v>0</v>
      </c>
      <c r="I550">
        <v>0</v>
      </c>
      <c r="J550">
        <v>0</v>
      </c>
      <c r="K550">
        <v>104</v>
      </c>
      <c r="L550">
        <v>582</v>
      </c>
      <c r="M550">
        <v>1507</v>
      </c>
      <c r="N550" t="str">
        <f t="shared" si="16"/>
        <v>Baja Actividad</v>
      </c>
      <c r="O550" t="str">
        <f t="shared" si="17"/>
        <v>Bajo Sedentarismo</v>
      </c>
    </row>
    <row r="551" spans="1:15" x14ac:dyDescent="0.3">
      <c r="A551">
        <v>5553957443</v>
      </c>
      <c r="B551" t="s">
        <v>37</v>
      </c>
      <c r="C551">
        <v>10946</v>
      </c>
      <c r="D551" s="2">
        <v>719000005722046</v>
      </c>
      <c r="E551" s="2">
        <v>29300000667572</v>
      </c>
      <c r="F551" t="s">
        <v>38</v>
      </c>
      <c r="G551" s="2">
        <v>369000005722046</v>
      </c>
      <c r="H551">
        <v>0</v>
      </c>
      <c r="I551">
        <v>51</v>
      </c>
      <c r="J551">
        <v>11</v>
      </c>
      <c r="K551">
        <v>201</v>
      </c>
      <c r="L551">
        <v>732</v>
      </c>
      <c r="M551">
        <v>2033</v>
      </c>
      <c r="N551" t="str">
        <f t="shared" si="16"/>
        <v>Alta Actividad</v>
      </c>
      <c r="O551" t="str">
        <f t="shared" si="17"/>
        <v>Alto Sedentarismo</v>
      </c>
    </row>
    <row r="552" spans="1:15" x14ac:dyDescent="0.3">
      <c r="A552">
        <v>5553957443</v>
      </c>
      <c r="B552" t="s">
        <v>39</v>
      </c>
      <c r="C552">
        <v>11886</v>
      </c>
      <c r="D552" s="2">
        <v>776000022888184</v>
      </c>
      <c r="E552" s="2">
        <v>236999988555908</v>
      </c>
      <c r="F552" t="s">
        <v>109</v>
      </c>
      <c r="G552" s="2">
        <v>446000003814697</v>
      </c>
      <c r="H552">
        <v>0</v>
      </c>
      <c r="I552">
        <v>40</v>
      </c>
      <c r="J552">
        <v>18</v>
      </c>
      <c r="K552">
        <v>238</v>
      </c>
      <c r="L552">
        <v>750</v>
      </c>
      <c r="M552">
        <v>2093</v>
      </c>
      <c r="N552" t="str">
        <f t="shared" si="16"/>
        <v>Alta Actividad</v>
      </c>
      <c r="O552" t="str">
        <f t="shared" si="17"/>
        <v>Alto Sedentarismo</v>
      </c>
    </row>
    <row r="553" spans="1:15" x14ac:dyDescent="0.3">
      <c r="A553">
        <v>5553957443</v>
      </c>
      <c r="B553" t="s">
        <v>41</v>
      </c>
      <c r="C553">
        <v>10538</v>
      </c>
      <c r="D553" s="2">
        <v>688000011444092</v>
      </c>
      <c r="E553" s="2">
        <v>113999998569489</v>
      </c>
      <c r="F553">
        <v>1</v>
      </c>
      <c r="G553" s="2">
        <v>473999977111816</v>
      </c>
      <c r="H553">
        <v>0</v>
      </c>
      <c r="I553">
        <v>16</v>
      </c>
      <c r="J553">
        <v>16</v>
      </c>
      <c r="K553">
        <v>206</v>
      </c>
      <c r="L553">
        <v>745</v>
      </c>
      <c r="M553">
        <v>1922</v>
      </c>
      <c r="N553" t="str">
        <f t="shared" si="16"/>
        <v>Alta Actividad</v>
      </c>
      <c r="O553" t="str">
        <f t="shared" si="17"/>
        <v>Alto Sedentarismo</v>
      </c>
    </row>
    <row r="554" spans="1:15" x14ac:dyDescent="0.3">
      <c r="A554">
        <v>5553957443</v>
      </c>
      <c r="B554" t="s">
        <v>42</v>
      </c>
      <c r="C554">
        <v>11393</v>
      </c>
      <c r="D554" s="2">
        <v>763000011444092</v>
      </c>
      <c r="E554" s="2">
        <v>371000003814697</v>
      </c>
      <c r="F554" t="s">
        <v>140</v>
      </c>
      <c r="G554" s="2">
        <v>317000007629395</v>
      </c>
      <c r="H554">
        <v>0</v>
      </c>
      <c r="I554">
        <v>49</v>
      </c>
      <c r="J554">
        <v>13</v>
      </c>
      <c r="K554">
        <v>165</v>
      </c>
      <c r="L554">
        <v>727</v>
      </c>
      <c r="M554">
        <v>1999</v>
      </c>
      <c r="N554" t="str">
        <f t="shared" si="16"/>
        <v>Alta Actividad</v>
      </c>
      <c r="O554" t="str">
        <f t="shared" si="17"/>
        <v>Alto Sedentarismo</v>
      </c>
    </row>
    <row r="555" spans="1:15" x14ac:dyDescent="0.3">
      <c r="A555">
        <v>5553957443</v>
      </c>
      <c r="B555" t="s">
        <v>43</v>
      </c>
      <c r="C555">
        <v>12764</v>
      </c>
      <c r="D555" s="2">
        <v>832999992370605</v>
      </c>
      <c r="E555" s="2">
        <v>278999996185303</v>
      </c>
      <c r="F555" t="s">
        <v>26</v>
      </c>
      <c r="G555" s="2">
        <v>490999984741211</v>
      </c>
      <c r="H555">
        <v>0</v>
      </c>
      <c r="I555">
        <v>46</v>
      </c>
      <c r="J555">
        <v>15</v>
      </c>
      <c r="K555">
        <v>270</v>
      </c>
      <c r="L555">
        <v>709</v>
      </c>
      <c r="M555">
        <v>2169</v>
      </c>
      <c r="N555" t="str">
        <f t="shared" si="16"/>
        <v>Alta Actividad</v>
      </c>
      <c r="O555" t="str">
        <f t="shared" si="17"/>
        <v>Alto Sedentarismo</v>
      </c>
    </row>
    <row r="556" spans="1:15" x14ac:dyDescent="0.3">
      <c r="A556">
        <v>5553957443</v>
      </c>
      <c r="B556" t="s">
        <v>45</v>
      </c>
      <c r="C556">
        <v>1202</v>
      </c>
      <c r="D556" t="s">
        <v>23</v>
      </c>
      <c r="E556">
        <v>0</v>
      </c>
      <c r="F556">
        <v>0</v>
      </c>
      <c r="G556" t="s">
        <v>23</v>
      </c>
      <c r="H556">
        <v>0</v>
      </c>
      <c r="I556">
        <v>0</v>
      </c>
      <c r="J556">
        <v>0</v>
      </c>
      <c r="K556">
        <v>84</v>
      </c>
      <c r="L556">
        <v>506</v>
      </c>
      <c r="M556">
        <v>1463</v>
      </c>
      <c r="N556" t="str">
        <f t="shared" si="16"/>
        <v>Baja Actividad</v>
      </c>
      <c r="O556" t="str">
        <f t="shared" si="17"/>
        <v>Bajo Sedentarismo</v>
      </c>
    </row>
    <row r="557" spans="1:15" x14ac:dyDescent="0.3">
      <c r="A557">
        <v>5553957443</v>
      </c>
      <c r="B557" s="1">
        <v>42374</v>
      </c>
      <c r="C557">
        <v>5164</v>
      </c>
      <c r="D557" s="2">
        <v>336999988555908</v>
      </c>
      <c r="E557">
        <v>0</v>
      </c>
      <c r="F557">
        <v>0</v>
      </c>
      <c r="G557" s="2">
        <v>336999988555908</v>
      </c>
      <c r="H557">
        <v>0</v>
      </c>
      <c r="I557">
        <v>0</v>
      </c>
      <c r="J557">
        <v>0</v>
      </c>
      <c r="K557">
        <v>237</v>
      </c>
      <c r="L557">
        <v>436</v>
      </c>
      <c r="M557">
        <v>1747</v>
      </c>
      <c r="N557" t="str">
        <f t="shared" si="16"/>
        <v>Baja Actividad</v>
      </c>
      <c r="O557" t="str">
        <f t="shared" si="17"/>
        <v>Bajo Sedentarismo</v>
      </c>
    </row>
    <row r="558" spans="1:15" x14ac:dyDescent="0.3">
      <c r="A558">
        <v>5553957443</v>
      </c>
      <c r="B558" s="1">
        <v>42405</v>
      </c>
      <c r="C558">
        <v>9769</v>
      </c>
      <c r="D558" s="2">
        <v>638000011444092</v>
      </c>
      <c r="E558" s="2">
        <v>105999994277954</v>
      </c>
      <c r="F558" t="s">
        <v>21</v>
      </c>
      <c r="G558" s="2">
        <v>490000009536743</v>
      </c>
      <c r="H558">
        <v>0</v>
      </c>
      <c r="I558">
        <v>23</v>
      </c>
      <c r="J558">
        <v>9</v>
      </c>
      <c r="K558">
        <v>227</v>
      </c>
      <c r="L558">
        <v>724</v>
      </c>
      <c r="M558">
        <v>1996</v>
      </c>
      <c r="N558" t="str">
        <f t="shared" si="16"/>
        <v>Baja Actividad</v>
      </c>
      <c r="O558" t="str">
        <f t="shared" si="17"/>
        <v>Alto Sedentarismo</v>
      </c>
    </row>
    <row r="559" spans="1:15" x14ac:dyDescent="0.3">
      <c r="A559">
        <v>5553957443</v>
      </c>
      <c r="B559" s="1">
        <v>42434</v>
      </c>
      <c r="C559">
        <v>12848</v>
      </c>
      <c r="D559" s="2">
        <v>839000034332275</v>
      </c>
      <c r="E559" t="s">
        <v>90</v>
      </c>
      <c r="F559" s="2">
        <v>120000004768372</v>
      </c>
      <c r="G559" s="2">
        <v>567999982833862</v>
      </c>
      <c r="H559">
        <v>0</v>
      </c>
      <c r="I559">
        <v>26</v>
      </c>
      <c r="J559">
        <v>29</v>
      </c>
      <c r="K559">
        <v>247</v>
      </c>
      <c r="L559">
        <v>812</v>
      </c>
      <c r="M559">
        <v>2116</v>
      </c>
      <c r="N559" t="str">
        <f t="shared" si="16"/>
        <v>Alta Actividad</v>
      </c>
      <c r="O559" t="str">
        <f t="shared" si="17"/>
        <v>Alto Sedentarismo</v>
      </c>
    </row>
    <row r="560" spans="1:15" x14ac:dyDescent="0.3">
      <c r="A560">
        <v>5553957443</v>
      </c>
      <c r="B560" s="1">
        <v>42465</v>
      </c>
      <c r="C560">
        <v>4249</v>
      </c>
      <c r="D560" s="2">
        <v>276999998092651</v>
      </c>
      <c r="E560">
        <v>0</v>
      </c>
      <c r="F560">
        <v>0</v>
      </c>
      <c r="G560" s="2">
        <v>276999998092651</v>
      </c>
      <c r="H560">
        <v>0</v>
      </c>
      <c r="I560">
        <v>0</v>
      </c>
      <c r="J560">
        <v>0</v>
      </c>
      <c r="K560">
        <v>224</v>
      </c>
      <c r="L560">
        <v>651</v>
      </c>
      <c r="M560">
        <v>1698</v>
      </c>
      <c r="N560" t="str">
        <f t="shared" si="16"/>
        <v>Baja Actividad</v>
      </c>
      <c r="O560" t="str">
        <f t="shared" si="17"/>
        <v>Bajo Sedentarismo</v>
      </c>
    </row>
    <row r="561" spans="1:15" x14ac:dyDescent="0.3">
      <c r="A561">
        <v>5553957443</v>
      </c>
      <c r="B561" s="1">
        <v>42495</v>
      </c>
      <c r="C561">
        <v>14331</v>
      </c>
      <c r="D561" s="2">
        <v>951000022888184</v>
      </c>
      <c r="E561" s="2">
        <v>34300000667572</v>
      </c>
      <c r="F561" s="2">
        <v>16599999666214</v>
      </c>
      <c r="G561" s="2">
        <v>442999982833862</v>
      </c>
      <c r="H561">
        <v>0</v>
      </c>
      <c r="I561">
        <v>44</v>
      </c>
      <c r="J561">
        <v>29</v>
      </c>
      <c r="K561">
        <v>241</v>
      </c>
      <c r="L561">
        <v>692</v>
      </c>
      <c r="M561">
        <v>2156</v>
      </c>
      <c r="N561" t="str">
        <f t="shared" si="16"/>
        <v>Alta Actividad</v>
      </c>
      <c r="O561" t="str">
        <f t="shared" si="17"/>
        <v>Bajo Sedentarismo</v>
      </c>
    </row>
    <row r="562" spans="1:15" x14ac:dyDescent="0.3">
      <c r="A562">
        <v>5553957443</v>
      </c>
      <c r="B562" s="1">
        <v>42526</v>
      </c>
      <c r="C562">
        <v>9632</v>
      </c>
      <c r="D562" s="2">
        <v>628999996185303</v>
      </c>
      <c r="E562" s="2">
        <v>151999998092651</v>
      </c>
      <c r="F562" t="s">
        <v>78</v>
      </c>
      <c r="G562" s="2">
        <v>423000001907349</v>
      </c>
      <c r="H562">
        <v>0</v>
      </c>
      <c r="I562">
        <v>21</v>
      </c>
      <c r="J562">
        <v>9</v>
      </c>
      <c r="K562">
        <v>229</v>
      </c>
      <c r="L562">
        <v>761</v>
      </c>
      <c r="M562">
        <v>1916</v>
      </c>
      <c r="N562" t="str">
        <f t="shared" si="16"/>
        <v>Baja Actividad</v>
      </c>
      <c r="O562" t="str">
        <f t="shared" si="17"/>
        <v>Alto Sedentarismo</v>
      </c>
    </row>
    <row r="563" spans="1:15" x14ac:dyDescent="0.3">
      <c r="A563">
        <v>5553957443</v>
      </c>
      <c r="B563" s="1">
        <v>42556</v>
      </c>
      <c r="C563">
        <v>1868</v>
      </c>
      <c r="D563" s="2">
        <v>122000002861023</v>
      </c>
      <c r="E563">
        <v>0</v>
      </c>
      <c r="F563">
        <v>0</v>
      </c>
      <c r="G563" s="2">
        <v>122000002861023</v>
      </c>
      <c r="H563">
        <v>0</v>
      </c>
      <c r="I563">
        <v>0</v>
      </c>
      <c r="J563">
        <v>0</v>
      </c>
      <c r="K563">
        <v>96</v>
      </c>
      <c r="L563">
        <v>902</v>
      </c>
      <c r="M563">
        <v>1494</v>
      </c>
      <c r="N563" t="str">
        <f t="shared" si="16"/>
        <v>Baja Actividad</v>
      </c>
      <c r="O563" t="str">
        <f t="shared" si="17"/>
        <v>Alto Sedentarismo</v>
      </c>
    </row>
    <row r="564" spans="1:15" x14ac:dyDescent="0.3">
      <c r="A564">
        <v>5553957443</v>
      </c>
      <c r="B564" s="1">
        <v>42587</v>
      </c>
      <c r="C564">
        <v>6083</v>
      </c>
      <c r="D564">
        <v>4</v>
      </c>
      <c r="E564" t="s">
        <v>62</v>
      </c>
      <c r="F564" t="s">
        <v>89</v>
      </c>
      <c r="G564" s="2">
        <v>329999995231628</v>
      </c>
      <c r="H564">
        <v>0</v>
      </c>
      <c r="I564">
        <v>3</v>
      </c>
      <c r="J564">
        <v>8</v>
      </c>
      <c r="K564">
        <v>210</v>
      </c>
      <c r="L564">
        <v>505</v>
      </c>
      <c r="M564">
        <v>1762</v>
      </c>
      <c r="N564" t="str">
        <f t="shared" si="16"/>
        <v>Baja Actividad</v>
      </c>
      <c r="O564" t="str">
        <f t="shared" si="17"/>
        <v>Bajo Sedentarismo</v>
      </c>
    </row>
    <row r="565" spans="1:15" x14ac:dyDescent="0.3">
      <c r="A565">
        <v>5553957443</v>
      </c>
      <c r="B565" s="1">
        <v>42618</v>
      </c>
      <c r="C565">
        <v>11611</v>
      </c>
      <c r="D565" s="2">
        <v>757999992370605</v>
      </c>
      <c r="E565" s="2">
        <v>213000011444092</v>
      </c>
      <c r="F565" t="s">
        <v>65</v>
      </c>
      <c r="G565" s="2">
        <v>455999994277954</v>
      </c>
      <c r="H565">
        <v>0</v>
      </c>
      <c r="I565">
        <v>59</v>
      </c>
      <c r="J565">
        <v>22</v>
      </c>
      <c r="K565">
        <v>251</v>
      </c>
      <c r="L565">
        <v>667</v>
      </c>
      <c r="M565">
        <v>2272</v>
      </c>
      <c r="N565" t="str">
        <f t="shared" si="16"/>
        <v>Alta Actividad</v>
      </c>
      <c r="O565" t="str">
        <f t="shared" si="17"/>
        <v>Bajo Sedentarismo</v>
      </c>
    </row>
    <row r="566" spans="1:15" x14ac:dyDescent="0.3">
      <c r="A566">
        <v>5553957443</v>
      </c>
      <c r="B566" s="1">
        <v>42648</v>
      </c>
      <c r="C566">
        <v>16358</v>
      </c>
      <c r="D566" s="2">
        <v>10710000038147</v>
      </c>
      <c r="E566" s="2">
        <v>386999988555908</v>
      </c>
      <c r="F566" s="2">
        <v>161000001430511</v>
      </c>
      <c r="G566" s="2">
        <v>519999980926514</v>
      </c>
      <c r="H566">
        <v>0</v>
      </c>
      <c r="I566">
        <v>61</v>
      </c>
      <c r="J566">
        <v>40</v>
      </c>
      <c r="K566">
        <v>265</v>
      </c>
      <c r="L566">
        <v>707</v>
      </c>
      <c r="M566">
        <v>2335</v>
      </c>
      <c r="N566" t="str">
        <f t="shared" si="16"/>
        <v>Alta Actividad</v>
      </c>
      <c r="O566" t="str">
        <f t="shared" si="17"/>
        <v>Alto Sedentarismo</v>
      </c>
    </row>
    <row r="567" spans="1:15" x14ac:dyDescent="0.3">
      <c r="A567">
        <v>5553957443</v>
      </c>
      <c r="B567" s="1">
        <v>42679</v>
      </c>
      <c r="C567">
        <v>4926</v>
      </c>
      <c r="D567" s="2">
        <v>322000002861023</v>
      </c>
      <c r="E567">
        <v>0</v>
      </c>
      <c r="F567">
        <v>0</v>
      </c>
      <c r="G567" s="2">
        <v>322000002861023</v>
      </c>
      <c r="H567">
        <v>0</v>
      </c>
      <c r="I567">
        <v>0</v>
      </c>
      <c r="J567">
        <v>0</v>
      </c>
      <c r="K567">
        <v>195</v>
      </c>
      <c r="L567">
        <v>628</v>
      </c>
      <c r="M567">
        <v>1693</v>
      </c>
      <c r="N567" t="str">
        <f t="shared" si="16"/>
        <v>Baja Actividad</v>
      </c>
      <c r="O567" t="str">
        <f t="shared" si="17"/>
        <v>Bajo Sedentarismo</v>
      </c>
    </row>
    <row r="568" spans="1:15" x14ac:dyDescent="0.3">
      <c r="A568">
        <v>5553957443</v>
      </c>
      <c r="B568" s="1">
        <v>42709</v>
      </c>
      <c r="C568">
        <v>3121</v>
      </c>
      <c r="D568" s="2">
        <v>203999996185303</v>
      </c>
      <c r="E568" t="s">
        <v>67</v>
      </c>
      <c r="F568" t="s">
        <v>18</v>
      </c>
      <c r="G568" s="2">
        <v>105999994277954</v>
      </c>
      <c r="H568">
        <v>0</v>
      </c>
      <c r="I568">
        <v>8</v>
      </c>
      <c r="J568">
        <v>6</v>
      </c>
      <c r="K568">
        <v>48</v>
      </c>
      <c r="L568">
        <v>222</v>
      </c>
      <c r="M568">
        <v>741</v>
      </c>
      <c r="N568" t="str">
        <f t="shared" si="16"/>
        <v>Baja Actividad</v>
      </c>
      <c r="O568" t="str">
        <f t="shared" si="17"/>
        <v>Bajo Sedentarismo</v>
      </c>
    </row>
    <row r="569" spans="1:15" x14ac:dyDescent="0.3">
      <c r="A569">
        <v>5577150313</v>
      </c>
      <c r="B569" s="1">
        <v>42708</v>
      </c>
      <c r="C569">
        <v>8135</v>
      </c>
      <c r="D569" s="2">
        <v>607999992370605</v>
      </c>
      <c r="E569" s="2">
        <v>359999990463257</v>
      </c>
      <c r="F569" t="s">
        <v>114</v>
      </c>
      <c r="G569" s="2">
        <v>209999990463257</v>
      </c>
      <c r="H569">
        <v>0</v>
      </c>
      <c r="I569">
        <v>86</v>
      </c>
      <c r="J569">
        <v>16</v>
      </c>
      <c r="K569">
        <v>140</v>
      </c>
      <c r="L569">
        <v>728</v>
      </c>
      <c r="M569">
        <v>3405</v>
      </c>
      <c r="N569" t="str">
        <f t="shared" si="16"/>
        <v>Baja Actividad</v>
      </c>
      <c r="O569" t="str">
        <f t="shared" si="17"/>
        <v>Alto Sedentarismo</v>
      </c>
    </row>
    <row r="570" spans="1:15" x14ac:dyDescent="0.3">
      <c r="A570">
        <v>5577150313</v>
      </c>
      <c r="B570" t="s">
        <v>15</v>
      </c>
      <c r="C570">
        <v>5077</v>
      </c>
      <c r="D570" s="2">
        <v>378999996185303</v>
      </c>
      <c r="E570" t="s">
        <v>48</v>
      </c>
      <c r="F570" t="s">
        <v>62</v>
      </c>
      <c r="G570" t="s">
        <v>25</v>
      </c>
      <c r="H570">
        <v>0</v>
      </c>
      <c r="I570">
        <v>15</v>
      </c>
      <c r="J570">
        <v>11</v>
      </c>
      <c r="K570">
        <v>144</v>
      </c>
      <c r="L570">
        <v>776</v>
      </c>
      <c r="M570">
        <v>2551</v>
      </c>
      <c r="N570" t="str">
        <f t="shared" si="16"/>
        <v>Baja Actividad</v>
      </c>
      <c r="O570" t="str">
        <f t="shared" si="17"/>
        <v>Alto Sedentarismo</v>
      </c>
    </row>
    <row r="571" spans="1:15" x14ac:dyDescent="0.3">
      <c r="A571">
        <v>5577150313</v>
      </c>
      <c r="B571" t="s">
        <v>17</v>
      </c>
      <c r="C571">
        <v>8596</v>
      </c>
      <c r="D571" s="2">
        <v>642000007629395</v>
      </c>
      <c r="E571" s="2">
        <v>332999992370605</v>
      </c>
      <c r="F571" t="s">
        <v>75</v>
      </c>
      <c r="G571" s="2">
        <v>277999997138977</v>
      </c>
      <c r="H571">
        <v>0</v>
      </c>
      <c r="I571">
        <v>118</v>
      </c>
      <c r="J571">
        <v>30</v>
      </c>
      <c r="K571">
        <v>176</v>
      </c>
      <c r="L571">
        <v>662</v>
      </c>
      <c r="M571">
        <v>4022</v>
      </c>
      <c r="N571" t="str">
        <f t="shared" si="16"/>
        <v>Baja Actividad</v>
      </c>
      <c r="O571" t="str">
        <f t="shared" si="17"/>
        <v>Bajo Sedentarismo</v>
      </c>
    </row>
    <row r="572" spans="1:15" x14ac:dyDescent="0.3">
      <c r="A572">
        <v>5577150313</v>
      </c>
      <c r="B572" t="s">
        <v>19</v>
      </c>
      <c r="C572">
        <v>12087</v>
      </c>
      <c r="D572" s="2">
        <v>907999992370605</v>
      </c>
      <c r="E572" s="2">
        <v>392000007629395</v>
      </c>
      <c r="F572" s="2">
        <v>160000002384186</v>
      </c>
      <c r="G572" s="2">
        <v>355999994277954</v>
      </c>
      <c r="H572">
        <v>0</v>
      </c>
      <c r="I572">
        <v>115</v>
      </c>
      <c r="J572">
        <v>54</v>
      </c>
      <c r="K572">
        <v>199</v>
      </c>
      <c r="L572">
        <v>695</v>
      </c>
      <c r="M572">
        <v>4005</v>
      </c>
      <c r="N572" t="str">
        <f t="shared" si="16"/>
        <v>Alta Actividad</v>
      </c>
      <c r="O572" t="str">
        <f t="shared" si="17"/>
        <v>Bajo Sedentarismo</v>
      </c>
    </row>
    <row r="573" spans="1:15" x14ac:dyDescent="0.3">
      <c r="A573">
        <v>5577150313</v>
      </c>
      <c r="B573" t="s">
        <v>20</v>
      </c>
      <c r="C573">
        <v>14269</v>
      </c>
      <c r="D573" s="2">
        <v>106599998474121</v>
      </c>
      <c r="E573" s="2">
        <v>66399998664856</v>
      </c>
      <c r="F573" s="2">
        <v>127999997138977</v>
      </c>
      <c r="G573" s="2">
        <v>273000001907349</v>
      </c>
      <c r="H573">
        <v>0</v>
      </c>
      <c r="I573">
        <v>184</v>
      </c>
      <c r="J573">
        <v>56</v>
      </c>
      <c r="K573">
        <v>158</v>
      </c>
      <c r="L573">
        <v>472</v>
      </c>
      <c r="M573">
        <v>4274</v>
      </c>
      <c r="N573" t="str">
        <f t="shared" si="16"/>
        <v>Alta Actividad</v>
      </c>
      <c r="O573" t="str">
        <f t="shared" si="17"/>
        <v>Bajo Sedentarismo</v>
      </c>
    </row>
    <row r="574" spans="1:15" x14ac:dyDescent="0.3">
      <c r="A574">
        <v>5577150313</v>
      </c>
      <c r="B574" t="s">
        <v>22</v>
      </c>
      <c r="C574">
        <v>12231</v>
      </c>
      <c r="D574" s="2">
        <v>914000034332275</v>
      </c>
      <c r="E574" s="2">
        <v>598000001907349</v>
      </c>
      <c r="F574" t="s">
        <v>95</v>
      </c>
      <c r="G574" s="2">
        <v>23199999332428</v>
      </c>
      <c r="H574">
        <v>0</v>
      </c>
      <c r="I574">
        <v>200</v>
      </c>
      <c r="J574">
        <v>37</v>
      </c>
      <c r="K574">
        <v>159</v>
      </c>
      <c r="L574">
        <v>525</v>
      </c>
      <c r="M574">
        <v>4552</v>
      </c>
      <c r="N574" t="str">
        <f t="shared" si="16"/>
        <v>Alta Actividad</v>
      </c>
      <c r="O574" t="str">
        <f t="shared" si="17"/>
        <v>Bajo Sedentarismo</v>
      </c>
    </row>
    <row r="575" spans="1:15" x14ac:dyDescent="0.3">
      <c r="A575">
        <v>5577150313</v>
      </c>
      <c r="B575" t="s">
        <v>24</v>
      </c>
      <c r="C575">
        <v>9893</v>
      </c>
      <c r="D575" s="2">
        <v>73899998664856</v>
      </c>
      <c r="E575" s="2">
        <v>48600001335144</v>
      </c>
      <c r="F575" t="s">
        <v>76</v>
      </c>
      <c r="G575" s="2">
        <v>182000005245209</v>
      </c>
      <c r="H575">
        <v>0</v>
      </c>
      <c r="I575">
        <v>114</v>
      </c>
      <c r="J575">
        <v>32</v>
      </c>
      <c r="K575">
        <v>130</v>
      </c>
      <c r="L575">
        <v>623</v>
      </c>
      <c r="M575">
        <v>3625</v>
      </c>
      <c r="N575" t="str">
        <f t="shared" si="16"/>
        <v>Baja Actividad</v>
      </c>
      <c r="O575" t="str">
        <f t="shared" si="17"/>
        <v>Bajo Sedentarismo</v>
      </c>
    </row>
    <row r="576" spans="1:15" x14ac:dyDescent="0.3">
      <c r="A576">
        <v>5577150313</v>
      </c>
      <c r="B576" t="s">
        <v>27</v>
      </c>
      <c r="C576">
        <v>12574</v>
      </c>
      <c r="D576" s="2">
        <v>942000007629395</v>
      </c>
      <c r="E576" s="2">
        <v>701999998092651</v>
      </c>
      <c r="F576" t="s">
        <v>26</v>
      </c>
      <c r="G576" s="2">
        <v>175999999046326</v>
      </c>
      <c r="H576">
        <v>0</v>
      </c>
      <c r="I576">
        <v>108</v>
      </c>
      <c r="J576">
        <v>23</v>
      </c>
      <c r="K576">
        <v>111</v>
      </c>
      <c r="L576">
        <v>733</v>
      </c>
      <c r="M576">
        <v>3501</v>
      </c>
      <c r="N576" t="str">
        <f t="shared" si="16"/>
        <v>Alta Actividad</v>
      </c>
      <c r="O576" t="str">
        <f t="shared" si="17"/>
        <v>Alto Sedentarismo</v>
      </c>
    </row>
    <row r="577" spans="1:15" x14ac:dyDescent="0.3">
      <c r="A577">
        <v>5577150313</v>
      </c>
      <c r="B577" t="s">
        <v>28</v>
      </c>
      <c r="C577">
        <v>8330</v>
      </c>
      <c r="D577" s="2">
        <v>621999979019165</v>
      </c>
      <c r="E577" s="2">
        <v>411999988555908</v>
      </c>
      <c r="F577" t="s">
        <v>107</v>
      </c>
      <c r="G577" s="2">
        <v>175999999046326</v>
      </c>
      <c r="H577">
        <v>0</v>
      </c>
      <c r="I577">
        <v>87</v>
      </c>
      <c r="J577">
        <v>16</v>
      </c>
      <c r="K577">
        <v>113</v>
      </c>
      <c r="L577">
        <v>773</v>
      </c>
      <c r="M577">
        <v>3192</v>
      </c>
      <c r="N577" t="str">
        <f t="shared" si="16"/>
        <v>Baja Actividad</v>
      </c>
      <c r="O577" t="str">
        <f t="shared" si="17"/>
        <v>Alto Sedentarismo</v>
      </c>
    </row>
    <row r="578" spans="1:15" x14ac:dyDescent="0.3">
      <c r="A578">
        <v>5577150313</v>
      </c>
      <c r="B578" t="s">
        <v>30</v>
      </c>
      <c r="C578">
        <v>10830</v>
      </c>
      <c r="D578" s="2">
        <v>809000015258789</v>
      </c>
      <c r="E578" s="2">
        <v>365000009536743</v>
      </c>
      <c r="F578" s="2">
        <v>16599999666214</v>
      </c>
      <c r="G578" s="2">
        <v>277999997138977</v>
      </c>
      <c r="H578">
        <v>0</v>
      </c>
      <c r="I578">
        <v>110</v>
      </c>
      <c r="J578">
        <v>74</v>
      </c>
      <c r="K578">
        <v>175</v>
      </c>
      <c r="L578">
        <v>670</v>
      </c>
      <c r="M578">
        <v>4018</v>
      </c>
      <c r="N578" t="str">
        <f t="shared" si="16"/>
        <v>Alta Actividad</v>
      </c>
      <c r="O578" t="str">
        <f t="shared" si="17"/>
        <v>Bajo Sedentarismo</v>
      </c>
    </row>
    <row r="579" spans="1:15" x14ac:dyDescent="0.3">
      <c r="A579">
        <v>5577150313</v>
      </c>
      <c r="B579" t="s">
        <v>32</v>
      </c>
      <c r="C579">
        <v>9172</v>
      </c>
      <c r="D579" s="2">
        <v>684999990463257</v>
      </c>
      <c r="E579" s="2">
        <v>242000007629395</v>
      </c>
      <c r="F579" t="s">
        <v>81</v>
      </c>
      <c r="G579" s="2">
        <v>329999995231628</v>
      </c>
      <c r="H579">
        <v>0</v>
      </c>
      <c r="I579">
        <v>62</v>
      </c>
      <c r="J579">
        <v>30</v>
      </c>
      <c r="K579">
        <v>200</v>
      </c>
      <c r="L579">
        <v>823</v>
      </c>
      <c r="M579">
        <v>3329</v>
      </c>
      <c r="N579" t="str">
        <f t="shared" ref="N579:N642" si="18">IF(C579&gt;=10000, "Alta Actividad", "Baja Actividad")</f>
        <v>Baja Actividad</v>
      </c>
      <c r="O579" t="str">
        <f t="shared" ref="O579:O642" si="19">IF(L579&gt;=700, "Alto Sedentarismo",  "Bajo Sedentarismo")</f>
        <v>Alto Sedentarismo</v>
      </c>
    </row>
    <row r="580" spans="1:15" x14ac:dyDescent="0.3">
      <c r="A580">
        <v>5577150313</v>
      </c>
      <c r="B580" t="s">
        <v>33</v>
      </c>
      <c r="C580">
        <v>7638</v>
      </c>
      <c r="D580" s="2">
        <v>571000003814697</v>
      </c>
      <c r="E580" s="2">
        <v>121000003814697</v>
      </c>
      <c r="F580" t="s">
        <v>61</v>
      </c>
      <c r="G580" s="2">
        <v>41399998664856</v>
      </c>
      <c r="H580">
        <v>0</v>
      </c>
      <c r="I580">
        <v>24</v>
      </c>
      <c r="J580">
        <v>24</v>
      </c>
      <c r="K580">
        <v>223</v>
      </c>
      <c r="L580">
        <v>627</v>
      </c>
      <c r="M580">
        <v>3152</v>
      </c>
      <c r="N580" t="str">
        <f t="shared" si="18"/>
        <v>Baja Actividad</v>
      </c>
      <c r="O580" t="str">
        <f t="shared" si="19"/>
        <v>Bajo Sedentarismo</v>
      </c>
    </row>
    <row r="581" spans="1:15" x14ac:dyDescent="0.3">
      <c r="A581">
        <v>5577150313</v>
      </c>
      <c r="B581" t="s">
        <v>35</v>
      </c>
      <c r="C581">
        <v>15764</v>
      </c>
      <c r="D581" s="2">
        <v>117799997329712</v>
      </c>
      <c r="E581" s="2">
        <v>765000009536743</v>
      </c>
      <c r="F581" s="2">
        <v>215000009536743</v>
      </c>
      <c r="G581" s="2">
        <v>198000001907349</v>
      </c>
      <c r="H581">
        <v>0</v>
      </c>
      <c r="I581">
        <v>210</v>
      </c>
      <c r="J581">
        <v>65</v>
      </c>
      <c r="K581">
        <v>141</v>
      </c>
      <c r="L581">
        <v>425</v>
      </c>
      <c r="M581">
        <v>4392</v>
      </c>
      <c r="N581" t="str">
        <f t="shared" si="18"/>
        <v>Alta Actividad</v>
      </c>
      <c r="O581" t="str">
        <f t="shared" si="19"/>
        <v>Bajo Sedentarismo</v>
      </c>
    </row>
    <row r="582" spans="1:15" x14ac:dyDescent="0.3">
      <c r="A582">
        <v>5577150313</v>
      </c>
      <c r="B582" t="s">
        <v>37</v>
      </c>
      <c r="C582">
        <v>6393</v>
      </c>
      <c r="D582" s="2">
        <v>478000020980835</v>
      </c>
      <c r="E582" s="2">
        <v>135000002384186</v>
      </c>
      <c r="F582" t="s">
        <v>110</v>
      </c>
      <c r="G582" s="2">
        <v>275999999046326</v>
      </c>
      <c r="H582">
        <v>0</v>
      </c>
      <c r="I582">
        <v>61</v>
      </c>
      <c r="J582">
        <v>38</v>
      </c>
      <c r="K582">
        <v>214</v>
      </c>
      <c r="L582">
        <v>743</v>
      </c>
      <c r="M582">
        <v>3374</v>
      </c>
      <c r="N582" t="str">
        <f t="shared" si="18"/>
        <v>Baja Actividad</v>
      </c>
      <c r="O582" t="str">
        <f t="shared" si="19"/>
        <v>Alto Sedentarismo</v>
      </c>
    </row>
    <row r="583" spans="1:15" x14ac:dyDescent="0.3">
      <c r="A583">
        <v>5577150313</v>
      </c>
      <c r="B583" t="s">
        <v>39</v>
      </c>
      <c r="C583">
        <v>5325</v>
      </c>
      <c r="D583" s="2">
        <v>398000001907349</v>
      </c>
      <c r="E583" t="s">
        <v>144</v>
      </c>
      <c r="F583" t="s">
        <v>138</v>
      </c>
      <c r="G583" s="2">
        <v>247000002861023</v>
      </c>
      <c r="H583">
        <v>0</v>
      </c>
      <c r="I583">
        <v>38</v>
      </c>
      <c r="J583">
        <v>32</v>
      </c>
      <c r="K583">
        <v>181</v>
      </c>
      <c r="L583">
        <v>759</v>
      </c>
      <c r="M583">
        <v>3088</v>
      </c>
      <c r="N583" t="str">
        <f t="shared" si="18"/>
        <v>Baja Actividad</v>
      </c>
      <c r="O583" t="str">
        <f t="shared" si="19"/>
        <v>Alto Sedentarismo</v>
      </c>
    </row>
    <row r="584" spans="1:15" x14ac:dyDescent="0.3">
      <c r="A584">
        <v>5577150313</v>
      </c>
      <c r="B584" t="s">
        <v>41</v>
      </c>
      <c r="C584">
        <v>6805</v>
      </c>
      <c r="D584" s="2">
        <v>51399998664856</v>
      </c>
      <c r="E584" s="2">
        <v>180999994277954</v>
      </c>
      <c r="F584" t="s">
        <v>18</v>
      </c>
      <c r="G584" s="2">
        <v>29300000667572</v>
      </c>
      <c r="H584">
        <v>0</v>
      </c>
      <c r="I584">
        <v>63</v>
      </c>
      <c r="J584">
        <v>16</v>
      </c>
      <c r="K584">
        <v>190</v>
      </c>
      <c r="L584">
        <v>773</v>
      </c>
      <c r="M584">
        <v>3294</v>
      </c>
      <c r="N584" t="str">
        <f t="shared" si="18"/>
        <v>Baja Actividad</v>
      </c>
      <c r="O584" t="str">
        <f t="shared" si="19"/>
        <v>Alto Sedentarismo</v>
      </c>
    </row>
    <row r="585" spans="1:15" x14ac:dyDescent="0.3">
      <c r="A585">
        <v>5577150313</v>
      </c>
      <c r="B585" t="s">
        <v>42</v>
      </c>
      <c r="C585">
        <v>9841</v>
      </c>
      <c r="D585" s="2">
        <v>742999982833862</v>
      </c>
      <c r="E585" t="s">
        <v>25</v>
      </c>
      <c r="F585" s="2">
        <v>116999995708466</v>
      </c>
      <c r="G585" s="2">
        <v>300999999046326</v>
      </c>
      <c r="H585">
        <v>0</v>
      </c>
      <c r="I585">
        <v>99</v>
      </c>
      <c r="J585">
        <v>51</v>
      </c>
      <c r="K585">
        <v>141</v>
      </c>
      <c r="L585">
        <v>692</v>
      </c>
      <c r="M585">
        <v>3580</v>
      </c>
      <c r="N585" t="str">
        <f t="shared" si="18"/>
        <v>Baja Actividad</v>
      </c>
      <c r="O585" t="str">
        <f t="shared" si="19"/>
        <v>Bajo Sedentarismo</v>
      </c>
    </row>
    <row r="586" spans="1:15" x14ac:dyDescent="0.3">
      <c r="A586">
        <v>5577150313</v>
      </c>
      <c r="B586" t="s">
        <v>43</v>
      </c>
      <c r="C586">
        <v>7924</v>
      </c>
      <c r="D586" s="2">
        <v>592000007629395</v>
      </c>
      <c r="E586" s="2">
        <v>283999991416931</v>
      </c>
      <c r="F586" t="s">
        <v>145</v>
      </c>
      <c r="G586" s="2">
        <v>247000002861023</v>
      </c>
      <c r="H586">
        <v>0</v>
      </c>
      <c r="I586">
        <v>97</v>
      </c>
      <c r="J586">
        <v>36</v>
      </c>
      <c r="K586">
        <v>165</v>
      </c>
      <c r="L586">
        <v>739</v>
      </c>
      <c r="M586">
        <v>3544</v>
      </c>
      <c r="N586" t="str">
        <f t="shared" si="18"/>
        <v>Baja Actividad</v>
      </c>
      <c r="O586" t="str">
        <f t="shared" si="19"/>
        <v>Alto Sedentarismo</v>
      </c>
    </row>
    <row r="587" spans="1:15" x14ac:dyDescent="0.3">
      <c r="A587">
        <v>5577150313</v>
      </c>
      <c r="B587" t="s">
        <v>45</v>
      </c>
      <c r="C587">
        <v>12363</v>
      </c>
      <c r="D587" s="2">
        <v>923999977111816</v>
      </c>
      <c r="E587" s="2">
        <v>582999992370605</v>
      </c>
      <c r="F587" t="s">
        <v>81</v>
      </c>
      <c r="G587" s="2">
        <v>260999989509583</v>
      </c>
      <c r="H587">
        <v>0</v>
      </c>
      <c r="I587">
        <v>207</v>
      </c>
      <c r="J587">
        <v>45</v>
      </c>
      <c r="K587">
        <v>163</v>
      </c>
      <c r="L587">
        <v>621</v>
      </c>
      <c r="M587">
        <v>4501</v>
      </c>
      <c r="N587" t="str">
        <f t="shared" si="18"/>
        <v>Alta Actividad</v>
      </c>
      <c r="O587" t="str">
        <f t="shared" si="19"/>
        <v>Bajo Sedentarismo</v>
      </c>
    </row>
    <row r="588" spans="1:15" x14ac:dyDescent="0.3">
      <c r="A588">
        <v>5577150313</v>
      </c>
      <c r="B588" s="1">
        <v>42374</v>
      </c>
      <c r="C588">
        <v>13368</v>
      </c>
      <c r="D588" s="2">
        <v>998999977111816</v>
      </c>
      <c r="E588" s="2">
        <v>530999994277954</v>
      </c>
      <c r="F588" s="2">
        <v>144000005722046</v>
      </c>
      <c r="G588" s="2">
        <v>324000000953674</v>
      </c>
      <c r="H588">
        <v>0</v>
      </c>
      <c r="I588">
        <v>194</v>
      </c>
      <c r="J588">
        <v>72</v>
      </c>
      <c r="K588">
        <v>178</v>
      </c>
      <c r="L588">
        <v>499</v>
      </c>
      <c r="M588">
        <v>4546</v>
      </c>
      <c r="N588" t="str">
        <f t="shared" si="18"/>
        <v>Alta Actividad</v>
      </c>
      <c r="O588" t="str">
        <f t="shared" si="19"/>
        <v>Bajo Sedentarismo</v>
      </c>
    </row>
    <row r="589" spans="1:15" x14ac:dyDescent="0.3">
      <c r="A589">
        <v>5577150313</v>
      </c>
      <c r="B589" s="1">
        <v>42405</v>
      </c>
      <c r="C589">
        <v>7439</v>
      </c>
      <c r="D589" s="2">
        <v>555999994277954</v>
      </c>
      <c r="E589" s="2">
        <v>112000000476837</v>
      </c>
      <c r="F589" t="s">
        <v>31</v>
      </c>
      <c r="G589" s="2">
        <v>407000017166138</v>
      </c>
      <c r="H589">
        <v>0</v>
      </c>
      <c r="I589">
        <v>37</v>
      </c>
      <c r="J589">
        <v>20</v>
      </c>
      <c r="K589">
        <v>235</v>
      </c>
      <c r="L589">
        <v>732</v>
      </c>
      <c r="M589">
        <v>3014</v>
      </c>
      <c r="N589" t="str">
        <f t="shared" si="18"/>
        <v>Baja Actividad</v>
      </c>
      <c r="O589" t="str">
        <f t="shared" si="19"/>
        <v>Alto Sedentarismo</v>
      </c>
    </row>
    <row r="590" spans="1:15" x14ac:dyDescent="0.3">
      <c r="A590">
        <v>5577150313</v>
      </c>
      <c r="B590" s="1">
        <v>42434</v>
      </c>
      <c r="C590">
        <v>11045</v>
      </c>
      <c r="D590" t="s">
        <v>146</v>
      </c>
      <c r="E590" s="2">
        <v>451999998092651</v>
      </c>
      <c r="F590" t="s">
        <v>63</v>
      </c>
      <c r="G590" s="2">
        <v>35699999332428</v>
      </c>
      <c r="H590">
        <v>0</v>
      </c>
      <c r="I590">
        <v>97</v>
      </c>
      <c r="J590">
        <v>8</v>
      </c>
      <c r="K590">
        <v>212</v>
      </c>
      <c r="L590">
        <v>580</v>
      </c>
      <c r="M590">
        <v>3795</v>
      </c>
      <c r="N590" t="str">
        <f t="shared" si="18"/>
        <v>Alta Actividad</v>
      </c>
      <c r="O590" t="str">
        <f t="shared" si="19"/>
        <v>Bajo Sedentarismo</v>
      </c>
    </row>
    <row r="591" spans="1:15" x14ac:dyDescent="0.3">
      <c r="A591">
        <v>5577150313</v>
      </c>
      <c r="B591" s="1">
        <v>42465</v>
      </c>
      <c r="C591">
        <v>5206</v>
      </c>
      <c r="D591" s="2">
        <v>389000010490417</v>
      </c>
      <c r="E591" s="2">
        <v>155999994277954</v>
      </c>
      <c r="F591" t="s">
        <v>47</v>
      </c>
      <c r="G591" s="2">
        <v>207999992370605</v>
      </c>
      <c r="H591">
        <v>0</v>
      </c>
      <c r="I591">
        <v>25</v>
      </c>
      <c r="J591">
        <v>9</v>
      </c>
      <c r="K591">
        <v>141</v>
      </c>
      <c r="L591">
        <v>631</v>
      </c>
      <c r="M591">
        <v>2755</v>
      </c>
      <c r="N591" t="str">
        <f t="shared" si="18"/>
        <v>Baja Actividad</v>
      </c>
      <c r="O591" t="str">
        <f t="shared" si="19"/>
        <v>Bajo Sedentarismo</v>
      </c>
    </row>
    <row r="592" spans="1:15" x14ac:dyDescent="0.3">
      <c r="A592">
        <v>5577150313</v>
      </c>
      <c r="B592" s="1">
        <v>42495</v>
      </c>
      <c r="C592">
        <v>7550</v>
      </c>
      <c r="D592" s="2">
        <v>56399998664856</v>
      </c>
      <c r="E592" t="s">
        <v>147</v>
      </c>
      <c r="F592" t="s">
        <v>89</v>
      </c>
      <c r="G592" s="2">
        <v>267000007629395</v>
      </c>
      <c r="H592">
        <v>0</v>
      </c>
      <c r="I592">
        <v>45</v>
      </c>
      <c r="J592">
        <v>21</v>
      </c>
      <c r="K592">
        <v>143</v>
      </c>
      <c r="L592">
        <v>1153</v>
      </c>
      <c r="M592">
        <v>3004</v>
      </c>
      <c r="N592" t="str">
        <f t="shared" si="18"/>
        <v>Baja Actividad</v>
      </c>
      <c r="O592" t="str">
        <f t="shared" si="19"/>
        <v>Alto Sedentarismo</v>
      </c>
    </row>
    <row r="593" spans="1:15" x14ac:dyDescent="0.3">
      <c r="A593">
        <v>5577150313</v>
      </c>
      <c r="B593" s="1">
        <v>42526</v>
      </c>
      <c r="C593">
        <v>4950</v>
      </c>
      <c r="D593" s="2">
        <v>370000004768372</v>
      </c>
      <c r="E593" s="2">
        <v>192999994754791</v>
      </c>
      <c r="F593" t="s">
        <v>48</v>
      </c>
      <c r="G593" s="2">
        <v>145000004768372</v>
      </c>
      <c r="H593">
        <v>0</v>
      </c>
      <c r="I593">
        <v>41</v>
      </c>
      <c r="J593">
        <v>16</v>
      </c>
      <c r="K593">
        <v>79</v>
      </c>
      <c r="L593">
        <v>1304</v>
      </c>
      <c r="M593">
        <v>2643</v>
      </c>
      <c r="N593" t="str">
        <f t="shared" si="18"/>
        <v>Baja Actividad</v>
      </c>
      <c r="O593" t="str">
        <f t="shared" si="19"/>
        <v>Alto Sedentarismo</v>
      </c>
    </row>
    <row r="594" spans="1:15" x14ac:dyDescent="0.3">
      <c r="A594">
        <v>5577150313</v>
      </c>
      <c r="B594" s="1">
        <v>42556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1440</v>
      </c>
      <c r="M594">
        <v>1819</v>
      </c>
      <c r="N594" t="str">
        <f t="shared" si="18"/>
        <v>Baja Actividad</v>
      </c>
      <c r="O594" t="str">
        <f t="shared" si="19"/>
        <v>Alto Sedentarismo</v>
      </c>
    </row>
    <row r="595" spans="1:15" x14ac:dyDescent="0.3">
      <c r="A595">
        <v>5577150313</v>
      </c>
      <c r="B595" s="1">
        <v>42587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1440</v>
      </c>
      <c r="M595">
        <v>1819</v>
      </c>
      <c r="N595" t="str">
        <f t="shared" si="18"/>
        <v>Baja Actividad</v>
      </c>
      <c r="O595" t="str">
        <f t="shared" si="19"/>
        <v>Alto Sedentarismo</v>
      </c>
    </row>
    <row r="596" spans="1:15" x14ac:dyDescent="0.3">
      <c r="A596">
        <v>5577150313</v>
      </c>
      <c r="B596" s="1">
        <v>42618</v>
      </c>
      <c r="C596">
        <v>3421</v>
      </c>
      <c r="D596" s="2">
        <v>255999994277954</v>
      </c>
      <c r="E596" s="2">
        <v>142999994754791</v>
      </c>
      <c r="F596" t="s">
        <v>60</v>
      </c>
      <c r="G596" t="s">
        <v>73</v>
      </c>
      <c r="H596">
        <v>0</v>
      </c>
      <c r="I596">
        <v>34</v>
      </c>
      <c r="J596">
        <v>11</v>
      </c>
      <c r="K596">
        <v>70</v>
      </c>
      <c r="L596">
        <v>1099</v>
      </c>
      <c r="M596">
        <v>2489</v>
      </c>
      <c r="N596" t="str">
        <f t="shared" si="18"/>
        <v>Baja Actividad</v>
      </c>
      <c r="O596" t="str">
        <f t="shared" si="19"/>
        <v>Alto Sedentarismo</v>
      </c>
    </row>
    <row r="597" spans="1:15" x14ac:dyDescent="0.3">
      <c r="A597">
        <v>5577150313</v>
      </c>
      <c r="B597" s="1">
        <v>42648</v>
      </c>
      <c r="C597">
        <v>8869</v>
      </c>
      <c r="D597" s="2">
        <v>665000009536743</v>
      </c>
      <c r="E597" s="2">
        <v>255999994277954</v>
      </c>
      <c r="F597" t="s">
        <v>140</v>
      </c>
      <c r="G597" s="2">
        <v>334999990463257</v>
      </c>
      <c r="H597">
        <v>0</v>
      </c>
      <c r="I597">
        <v>104</v>
      </c>
      <c r="J597">
        <v>37</v>
      </c>
      <c r="K597">
        <v>194</v>
      </c>
      <c r="L597">
        <v>639</v>
      </c>
      <c r="M597">
        <v>3841</v>
      </c>
      <c r="N597" t="str">
        <f t="shared" si="18"/>
        <v>Baja Actividad</v>
      </c>
      <c r="O597" t="str">
        <f t="shared" si="19"/>
        <v>Bajo Sedentarismo</v>
      </c>
    </row>
    <row r="598" spans="1:15" x14ac:dyDescent="0.3">
      <c r="A598">
        <v>5577150313</v>
      </c>
      <c r="B598" s="1">
        <v>42679</v>
      </c>
      <c r="C598">
        <v>4038</v>
      </c>
      <c r="D598" s="2">
        <v>303999996185303</v>
      </c>
      <c r="E598" s="2">
        <v>183000004291534</v>
      </c>
      <c r="F598" t="s">
        <v>96</v>
      </c>
      <c r="G598" t="s">
        <v>65</v>
      </c>
      <c r="H598">
        <v>0</v>
      </c>
      <c r="I598">
        <v>45</v>
      </c>
      <c r="J598">
        <v>15</v>
      </c>
      <c r="K598">
        <v>63</v>
      </c>
      <c r="L598">
        <v>257</v>
      </c>
      <c r="M598">
        <v>1665</v>
      </c>
      <c r="N598" t="str">
        <f t="shared" si="18"/>
        <v>Baja Actividad</v>
      </c>
      <c r="O598" t="str">
        <f t="shared" si="19"/>
        <v>Bajo Sedentarismo</v>
      </c>
    </row>
    <row r="599" spans="1:15" x14ac:dyDescent="0.3">
      <c r="A599">
        <v>6117666160</v>
      </c>
      <c r="B599" s="1">
        <v>42708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1440</v>
      </c>
      <c r="M599">
        <v>1496</v>
      </c>
      <c r="N599" t="str">
        <f t="shared" si="18"/>
        <v>Baja Actividad</v>
      </c>
      <c r="O599" t="str">
        <f t="shared" si="19"/>
        <v>Alto Sedentarismo</v>
      </c>
    </row>
    <row r="600" spans="1:15" x14ac:dyDescent="0.3">
      <c r="A600">
        <v>6117666160</v>
      </c>
      <c r="B600" t="s">
        <v>15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1440</v>
      </c>
      <c r="M600">
        <v>1496</v>
      </c>
      <c r="N600" t="str">
        <f t="shared" si="18"/>
        <v>Baja Actividad</v>
      </c>
      <c r="O600" t="str">
        <f t="shared" si="19"/>
        <v>Alto Sedentarismo</v>
      </c>
    </row>
    <row r="601" spans="1:15" x14ac:dyDescent="0.3">
      <c r="A601">
        <v>6117666160</v>
      </c>
      <c r="B601" t="s">
        <v>17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1440</v>
      </c>
      <c r="M601">
        <v>1496</v>
      </c>
      <c r="N601" t="str">
        <f t="shared" si="18"/>
        <v>Baja Actividad</v>
      </c>
      <c r="O601" t="str">
        <f t="shared" si="19"/>
        <v>Alto Sedentarismo</v>
      </c>
    </row>
    <row r="602" spans="1:15" x14ac:dyDescent="0.3">
      <c r="A602">
        <v>6117666160</v>
      </c>
      <c r="B602" t="s">
        <v>19</v>
      </c>
      <c r="C602">
        <v>14019</v>
      </c>
      <c r="D602" s="2">
        <v>105900001525879</v>
      </c>
      <c r="E602">
        <v>0</v>
      </c>
      <c r="F602" t="s">
        <v>119</v>
      </c>
      <c r="G602" s="2">
        <v>103000001907349</v>
      </c>
      <c r="H602">
        <v>0</v>
      </c>
      <c r="I602">
        <v>0</v>
      </c>
      <c r="J602">
        <v>6</v>
      </c>
      <c r="K602">
        <v>513</v>
      </c>
      <c r="L602">
        <v>921</v>
      </c>
      <c r="M602">
        <v>2865</v>
      </c>
      <c r="N602" t="str">
        <f t="shared" si="18"/>
        <v>Alta Actividad</v>
      </c>
      <c r="O602" t="str">
        <f t="shared" si="19"/>
        <v>Alto Sedentarismo</v>
      </c>
    </row>
    <row r="603" spans="1:15" x14ac:dyDescent="0.3">
      <c r="A603">
        <v>6117666160</v>
      </c>
      <c r="B603" t="s">
        <v>20</v>
      </c>
      <c r="C603">
        <v>14450</v>
      </c>
      <c r="D603" s="2">
        <v>109099998474121</v>
      </c>
      <c r="E603" t="s">
        <v>67</v>
      </c>
      <c r="F603" t="s">
        <v>144</v>
      </c>
      <c r="G603" s="2">
        <v>947999954223633</v>
      </c>
      <c r="H603">
        <v>0</v>
      </c>
      <c r="I603">
        <v>7</v>
      </c>
      <c r="J603">
        <v>15</v>
      </c>
      <c r="K603">
        <v>518</v>
      </c>
      <c r="L603">
        <v>502</v>
      </c>
      <c r="M603">
        <v>2828</v>
      </c>
      <c r="N603" t="str">
        <f t="shared" si="18"/>
        <v>Alta Actividad</v>
      </c>
      <c r="O603" t="str">
        <f t="shared" si="19"/>
        <v>Bajo Sedentarismo</v>
      </c>
    </row>
    <row r="604" spans="1:15" x14ac:dyDescent="0.3">
      <c r="A604">
        <v>6117666160</v>
      </c>
      <c r="B604" t="s">
        <v>22</v>
      </c>
      <c r="C604">
        <v>7150</v>
      </c>
      <c r="D604" s="2">
        <v>540000009536743</v>
      </c>
      <c r="E604">
        <v>0</v>
      </c>
      <c r="F604">
        <v>0</v>
      </c>
      <c r="G604" s="2">
        <v>540000009536743</v>
      </c>
      <c r="H604">
        <v>0</v>
      </c>
      <c r="I604">
        <v>0</v>
      </c>
      <c r="J604">
        <v>0</v>
      </c>
      <c r="K604">
        <v>312</v>
      </c>
      <c r="L604">
        <v>702</v>
      </c>
      <c r="M604">
        <v>2225</v>
      </c>
      <c r="N604" t="str">
        <f t="shared" si="18"/>
        <v>Baja Actividad</v>
      </c>
      <c r="O604" t="str">
        <f t="shared" si="19"/>
        <v>Alto Sedentarismo</v>
      </c>
    </row>
    <row r="605" spans="1:15" x14ac:dyDescent="0.3">
      <c r="A605">
        <v>6117666160</v>
      </c>
      <c r="B605" t="s">
        <v>24</v>
      </c>
      <c r="C605">
        <v>5153</v>
      </c>
      <c r="D605" s="2">
        <v>391000008583069</v>
      </c>
      <c r="E605">
        <v>0</v>
      </c>
      <c r="F605">
        <v>0</v>
      </c>
      <c r="G605" s="2">
        <v>389000010490417</v>
      </c>
      <c r="H605">
        <v>0</v>
      </c>
      <c r="I605">
        <v>0</v>
      </c>
      <c r="J605">
        <v>0</v>
      </c>
      <c r="K605">
        <v>241</v>
      </c>
      <c r="L605">
        <v>759</v>
      </c>
      <c r="M605">
        <v>2018</v>
      </c>
      <c r="N605" t="str">
        <f t="shared" si="18"/>
        <v>Baja Actividad</v>
      </c>
      <c r="O605" t="str">
        <f t="shared" si="19"/>
        <v>Alto Sedentarismo</v>
      </c>
    </row>
    <row r="606" spans="1:15" x14ac:dyDescent="0.3">
      <c r="A606">
        <v>6117666160</v>
      </c>
      <c r="B606" t="s">
        <v>27</v>
      </c>
      <c r="C606">
        <v>11135</v>
      </c>
      <c r="D606" s="2">
        <v>840999984741211</v>
      </c>
      <c r="E606">
        <v>0</v>
      </c>
      <c r="F606">
        <v>0</v>
      </c>
      <c r="G606" s="2">
        <v>840999984741211</v>
      </c>
      <c r="H606">
        <v>0</v>
      </c>
      <c r="I606">
        <v>0</v>
      </c>
      <c r="J606">
        <v>0</v>
      </c>
      <c r="K606">
        <v>480</v>
      </c>
      <c r="L606">
        <v>425</v>
      </c>
      <c r="M606">
        <v>2606</v>
      </c>
      <c r="N606" t="str">
        <f t="shared" si="18"/>
        <v>Alta Actividad</v>
      </c>
      <c r="O606" t="str">
        <f t="shared" si="19"/>
        <v>Bajo Sedentarismo</v>
      </c>
    </row>
    <row r="607" spans="1:15" x14ac:dyDescent="0.3">
      <c r="A607">
        <v>6117666160</v>
      </c>
      <c r="B607" t="s">
        <v>28</v>
      </c>
      <c r="C607">
        <v>10449</v>
      </c>
      <c r="D607" s="2">
        <v>802000045776367</v>
      </c>
      <c r="E607" s="2">
        <v>202999997138977</v>
      </c>
      <c r="F607" t="s">
        <v>29</v>
      </c>
      <c r="G607" s="2">
        <v>551999998092651</v>
      </c>
      <c r="H607">
        <v>0</v>
      </c>
      <c r="I607">
        <v>26</v>
      </c>
      <c r="J607">
        <v>10</v>
      </c>
      <c r="K607">
        <v>349</v>
      </c>
      <c r="L607">
        <v>587</v>
      </c>
      <c r="M607">
        <v>2536</v>
      </c>
      <c r="N607" t="str">
        <f t="shared" si="18"/>
        <v>Alta Actividad</v>
      </c>
      <c r="O607" t="str">
        <f t="shared" si="19"/>
        <v>Bajo Sedentarismo</v>
      </c>
    </row>
    <row r="608" spans="1:15" x14ac:dyDescent="0.3">
      <c r="A608">
        <v>6117666160</v>
      </c>
      <c r="B608" t="s">
        <v>30</v>
      </c>
      <c r="C608">
        <v>19542</v>
      </c>
      <c r="D608" s="2">
        <v>150100002288818</v>
      </c>
      <c r="E608" t="s">
        <v>51</v>
      </c>
      <c r="F608" t="s">
        <v>18</v>
      </c>
      <c r="G608" s="2">
        <v>561999988555908</v>
      </c>
      <c r="H608">
        <v>0</v>
      </c>
      <c r="I608">
        <v>11</v>
      </c>
      <c r="J608">
        <v>19</v>
      </c>
      <c r="K608">
        <v>294</v>
      </c>
      <c r="L608">
        <v>579</v>
      </c>
      <c r="M608">
        <v>4900</v>
      </c>
      <c r="N608" t="str">
        <f t="shared" si="18"/>
        <v>Alta Actividad</v>
      </c>
      <c r="O608" t="str">
        <f t="shared" si="19"/>
        <v>Bajo Sedentarismo</v>
      </c>
    </row>
    <row r="609" spans="1:15" x14ac:dyDescent="0.3">
      <c r="A609">
        <v>6117666160</v>
      </c>
      <c r="B609" t="s">
        <v>32</v>
      </c>
      <c r="C609">
        <v>8206</v>
      </c>
      <c r="D609" s="2">
        <v>619999980926514</v>
      </c>
      <c r="E609">
        <v>0</v>
      </c>
      <c r="F609">
        <v>0</v>
      </c>
      <c r="G609" s="2">
        <v>619999980926514</v>
      </c>
      <c r="H609">
        <v>0</v>
      </c>
      <c r="I609">
        <v>0</v>
      </c>
      <c r="J609">
        <v>0</v>
      </c>
      <c r="K609">
        <v>402</v>
      </c>
      <c r="L609">
        <v>413</v>
      </c>
      <c r="M609">
        <v>2409</v>
      </c>
      <c r="N609" t="str">
        <f t="shared" si="18"/>
        <v>Baja Actividad</v>
      </c>
      <c r="O609" t="str">
        <f t="shared" si="19"/>
        <v>Bajo Sedentarismo</v>
      </c>
    </row>
    <row r="610" spans="1:15" x14ac:dyDescent="0.3">
      <c r="A610">
        <v>6117666160</v>
      </c>
      <c r="B610" t="s">
        <v>33</v>
      </c>
      <c r="C610">
        <v>11495</v>
      </c>
      <c r="D610" s="2">
        <v>868000030517578</v>
      </c>
      <c r="E610">
        <v>0</v>
      </c>
      <c r="F610">
        <v>0</v>
      </c>
      <c r="G610" s="2">
        <v>868000030517578</v>
      </c>
      <c r="H610">
        <v>0</v>
      </c>
      <c r="I610">
        <v>0</v>
      </c>
      <c r="J610">
        <v>0</v>
      </c>
      <c r="K610">
        <v>512</v>
      </c>
      <c r="L610">
        <v>468</v>
      </c>
      <c r="M610">
        <v>2651</v>
      </c>
      <c r="N610" t="str">
        <f t="shared" si="18"/>
        <v>Alta Actividad</v>
      </c>
      <c r="O610" t="str">
        <f t="shared" si="19"/>
        <v>Bajo Sedentarismo</v>
      </c>
    </row>
    <row r="611" spans="1:15" x14ac:dyDescent="0.3">
      <c r="A611">
        <v>6117666160</v>
      </c>
      <c r="B611" t="s">
        <v>35</v>
      </c>
      <c r="C611">
        <v>7623</v>
      </c>
      <c r="D611" s="2">
        <v>576000022888184</v>
      </c>
      <c r="E611">
        <v>0</v>
      </c>
      <c r="F611">
        <v>0</v>
      </c>
      <c r="G611" s="2">
        <v>576000022888184</v>
      </c>
      <c r="H611">
        <v>0</v>
      </c>
      <c r="I611">
        <v>0</v>
      </c>
      <c r="J611">
        <v>0</v>
      </c>
      <c r="K611">
        <v>362</v>
      </c>
      <c r="L611">
        <v>711</v>
      </c>
      <c r="M611">
        <v>2305</v>
      </c>
      <c r="N611" t="str">
        <f t="shared" si="18"/>
        <v>Baja Actividad</v>
      </c>
      <c r="O611" t="str">
        <f t="shared" si="19"/>
        <v>Alto Sedentarismo</v>
      </c>
    </row>
    <row r="612" spans="1:15" x14ac:dyDescent="0.3">
      <c r="A612">
        <v>6117666160</v>
      </c>
      <c r="B612" t="s">
        <v>37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1440</v>
      </c>
      <c r="M612">
        <v>1497</v>
      </c>
      <c r="N612" t="str">
        <f t="shared" si="18"/>
        <v>Baja Actividad</v>
      </c>
      <c r="O612" t="str">
        <f t="shared" si="19"/>
        <v>Alto Sedentarismo</v>
      </c>
    </row>
    <row r="613" spans="1:15" x14ac:dyDescent="0.3">
      <c r="A613">
        <v>6117666160</v>
      </c>
      <c r="B613" t="s">
        <v>39</v>
      </c>
      <c r="C613">
        <v>9543</v>
      </c>
      <c r="D613" s="2">
        <v>721000003814697</v>
      </c>
      <c r="E613">
        <v>0</v>
      </c>
      <c r="F613" t="s">
        <v>107</v>
      </c>
      <c r="G613" s="2">
        <v>686999988555908</v>
      </c>
      <c r="H613">
        <v>0</v>
      </c>
      <c r="I613">
        <v>0</v>
      </c>
      <c r="J613">
        <v>7</v>
      </c>
      <c r="K613">
        <v>352</v>
      </c>
      <c r="L613">
        <v>1077</v>
      </c>
      <c r="M613">
        <v>2450</v>
      </c>
      <c r="N613" t="str">
        <f t="shared" si="18"/>
        <v>Baja Actividad</v>
      </c>
      <c r="O613" t="str">
        <f t="shared" si="19"/>
        <v>Alto Sedentarismo</v>
      </c>
    </row>
    <row r="614" spans="1:15" x14ac:dyDescent="0.3">
      <c r="A614">
        <v>6117666160</v>
      </c>
      <c r="B614" t="s">
        <v>41</v>
      </c>
      <c r="C614">
        <v>9411</v>
      </c>
      <c r="D614" s="2">
        <v>71100001335144</v>
      </c>
      <c r="E614">
        <v>0</v>
      </c>
      <c r="F614">
        <v>0</v>
      </c>
      <c r="G614" s="2">
        <v>71100001335144</v>
      </c>
      <c r="H614">
        <v>0</v>
      </c>
      <c r="I614">
        <v>0</v>
      </c>
      <c r="J614">
        <v>0</v>
      </c>
      <c r="K614">
        <v>458</v>
      </c>
      <c r="L614">
        <v>417</v>
      </c>
      <c r="M614">
        <v>2576</v>
      </c>
      <c r="N614" t="str">
        <f t="shared" si="18"/>
        <v>Baja Actividad</v>
      </c>
      <c r="O614" t="str">
        <f t="shared" si="19"/>
        <v>Bajo Sedentarismo</v>
      </c>
    </row>
    <row r="615" spans="1:15" x14ac:dyDescent="0.3">
      <c r="A615">
        <v>6117666160</v>
      </c>
      <c r="B615" t="s">
        <v>42</v>
      </c>
      <c r="C615">
        <v>3403</v>
      </c>
      <c r="D615" s="2">
        <v>259999990463257</v>
      </c>
      <c r="E615">
        <v>0</v>
      </c>
      <c r="F615">
        <v>0</v>
      </c>
      <c r="G615" s="2">
        <v>259999990463257</v>
      </c>
      <c r="H615">
        <v>0</v>
      </c>
      <c r="I615">
        <v>0</v>
      </c>
      <c r="J615">
        <v>0</v>
      </c>
      <c r="K615">
        <v>141</v>
      </c>
      <c r="L615">
        <v>758</v>
      </c>
      <c r="M615">
        <v>1879</v>
      </c>
      <c r="N615" t="str">
        <f t="shared" si="18"/>
        <v>Baja Actividad</v>
      </c>
      <c r="O615" t="str">
        <f t="shared" si="19"/>
        <v>Alto Sedentarismo</v>
      </c>
    </row>
    <row r="616" spans="1:15" x14ac:dyDescent="0.3">
      <c r="A616">
        <v>6117666160</v>
      </c>
      <c r="B616" t="s">
        <v>43</v>
      </c>
      <c r="C616">
        <v>9592</v>
      </c>
      <c r="D616" s="2">
        <v>723999977111816</v>
      </c>
      <c r="E616">
        <v>0</v>
      </c>
      <c r="F616">
        <v>0</v>
      </c>
      <c r="G616" s="2">
        <v>723999977111816</v>
      </c>
      <c r="H616">
        <v>0</v>
      </c>
      <c r="I616">
        <v>0</v>
      </c>
      <c r="J616">
        <v>0</v>
      </c>
      <c r="K616">
        <v>461</v>
      </c>
      <c r="L616">
        <v>479</v>
      </c>
      <c r="M616">
        <v>2560</v>
      </c>
      <c r="N616" t="str">
        <f t="shared" si="18"/>
        <v>Baja Actividad</v>
      </c>
      <c r="O616" t="str">
        <f t="shared" si="19"/>
        <v>Bajo Sedentarismo</v>
      </c>
    </row>
    <row r="617" spans="1:15" x14ac:dyDescent="0.3">
      <c r="A617">
        <v>6117666160</v>
      </c>
      <c r="B617" t="s">
        <v>45</v>
      </c>
      <c r="C617">
        <v>6987</v>
      </c>
      <c r="D617" s="2">
        <v>528000020980835</v>
      </c>
      <c r="E617">
        <v>0</v>
      </c>
      <c r="F617">
        <v>0</v>
      </c>
      <c r="G617" s="2">
        <v>528000020980835</v>
      </c>
      <c r="H617">
        <v>0</v>
      </c>
      <c r="I617">
        <v>0</v>
      </c>
      <c r="J617">
        <v>0</v>
      </c>
      <c r="K617">
        <v>343</v>
      </c>
      <c r="L617">
        <v>1040</v>
      </c>
      <c r="M617">
        <v>2275</v>
      </c>
      <c r="N617" t="str">
        <f t="shared" si="18"/>
        <v>Baja Actividad</v>
      </c>
      <c r="O617" t="str">
        <f t="shared" si="19"/>
        <v>Alto Sedentarismo</v>
      </c>
    </row>
    <row r="618" spans="1:15" x14ac:dyDescent="0.3">
      <c r="A618">
        <v>6117666160</v>
      </c>
      <c r="B618" s="1">
        <v>42374</v>
      </c>
      <c r="C618">
        <v>8915</v>
      </c>
      <c r="D618" s="2">
        <v>673000001907349</v>
      </c>
      <c r="E618">
        <v>0</v>
      </c>
      <c r="F618">
        <v>0</v>
      </c>
      <c r="G618" s="2">
        <v>673000001907349</v>
      </c>
      <c r="H618">
        <v>0</v>
      </c>
      <c r="I618">
        <v>0</v>
      </c>
      <c r="J618">
        <v>0</v>
      </c>
      <c r="K618">
        <v>397</v>
      </c>
      <c r="L618">
        <v>525</v>
      </c>
      <c r="M618">
        <v>2361</v>
      </c>
      <c r="N618" t="str">
        <f t="shared" si="18"/>
        <v>Baja Actividad</v>
      </c>
      <c r="O618" t="str">
        <f t="shared" si="19"/>
        <v>Bajo Sedentarismo</v>
      </c>
    </row>
    <row r="619" spans="1:15" x14ac:dyDescent="0.3">
      <c r="A619">
        <v>6117666160</v>
      </c>
      <c r="B619" s="1">
        <v>42405</v>
      </c>
      <c r="C619">
        <v>4933</v>
      </c>
      <c r="D619" s="2">
        <v>373000001907349</v>
      </c>
      <c r="E619">
        <v>0</v>
      </c>
      <c r="F619">
        <v>0</v>
      </c>
      <c r="G619" s="2">
        <v>373000001907349</v>
      </c>
      <c r="H619">
        <v>0</v>
      </c>
      <c r="I619">
        <v>0</v>
      </c>
      <c r="J619">
        <v>0</v>
      </c>
      <c r="K619">
        <v>236</v>
      </c>
      <c r="L619">
        <v>1204</v>
      </c>
      <c r="M619">
        <v>2044</v>
      </c>
      <c r="N619" t="str">
        <f t="shared" si="18"/>
        <v>Baja Actividad</v>
      </c>
      <c r="O619" t="str">
        <f t="shared" si="19"/>
        <v>Alto Sedentarismo</v>
      </c>
    </row>
    <row r="620" spans="1:15" x14ac:dyDescent="0.3">
      <c r="A620">
        <v>6117666160</v>
      </c>
      <c r="B620" s="1">
        <v>42434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1440</v>
      </c>
      <c r="M620">
        <v>1496</v>
      </c>
      <c r="N620" t="str">
        <f t="shared" si="18"/>
        <v>Baja Actividad</v>
      </c>
      <c r="O620" t="str">
        <f t="shared" si="19"/>
        <v>Alto Sedentarismo</v>
      </c>
    </row>
    <row r="621" spans="1:15" x14ac:dyDescent="0.3">
      <c r="A621">
        <v>6117666160</v>
      </c>
      <c r="B621" s="1">
        <v>42465</v>
      </c>
      <c r="C621">
        <v>2997</v>
      </c>
      <c r="D621" s="2">
        <v>225999999046326</v>
      </c>
      <c r="E621">
        <v>0</v>
      </c>
      <c r="F621">
        <v>0</v>
      </c>
      <c r="G621" s="2">
        <v>225999999046326</v>
      </c>
      <c r="H621">
        <v>0</v>
      </c>
      <c r="I621">
        <v>0</v>
      </c>
      <c r="J621">
        <v>0</v>
      </c>
      <c r="K621">
        <v>156</v>
      </c>
      <c r="L621">
        <v>1279</v>
      </c>
      <c r="M621">
        <v>1902</v>
      </c>
      <c r="N621" t="str">
        <f t="shared" si="18"/>
        <v>Baja Actividad</v>
      </c>
      <c r="O621" t="str">
        <f t="shared" si="19"/>
        <v>Alto Sedentarismo</v>
      </c>
    </row>
    <row r="622" spans="1:15" x14ac:dyDescent="0.3">
      <c r="A622">
        <v>6117666160</v>
      </c>
      <c r="B622" s="1">
        <v>42495</v>
      </c>
      <c r="C622">
        <v>9799</v>
      </c>
      <c r="D622" s="2">
        <v>740000009536743</v>
      </c>
      <c r="E622">
        <v>0</v>
      </c>
      <c r="F622">
        <v>0</v>
      </c>
      <c r="G622" s="2">
        <v>740000009536743</v>
      </c>
      <c r="H622">
        <v>0</v>
      </c>
      <c r="I622">
        <v>0</v>
      </c>
      <c r="J622">
        <v>0</v>
      </c>
      <c r="K622">
        <v>487</v>
      </c>
      <c r="L622">
        <v>479</v>
      </c>
      <c r="M622">
        <v>2636</v>
      </c>
      <c r="N622" t="str">
        <f t="shared" si="18"/>
        <v>Baja Actividad</v>
      </c>
      <c r="O622" t="str">
        <f t="shared" si="19"/>
        <v>Bajo Sedentarismo</v>
      </c>
    </row>
    <row r="623" spans="1:15" x14ac:dyDescent="0.3">
      <c r="A623">
        <v>6117666160</v>
      </c>
      <c r="B623" s="1">
        <v>42526</v>
      </c>
      <c r="C623">
        <v>3365</v>
      </c>
      <c r="D623" s="2">
        <v>26800000667572</v>
      </c>
      <c r="E623">
        <v>0</v>
      </c>
      <c r="F623">
        <v>0</v>
      </c>
      <c r="G623" s="2">
        <v>26800000667572</v>
      </c>
      <c r="H623">
        <v>0</v>
      </c>
      <c r="I623">
        <v>0</v>
      </c>
      <c r="J623">
        <v>0</v>
      </c>
      <c r="K623">
        <v>133</v>
      </c>
      <c r="L623">
        <v>673</v>
      </c>
      <c r="M623">
        <v>1838</v>
      </c>
      <c r="N623" t="str">
        <f t="shared" si="18"/>
        <v>Baja Actividad</v>
      </c>
      <c r="O623" t="str">
        <f t="shared" si="19"/>
        <v>Bajo Sedentarismo</v>
      </c>
    </row>
    <row r="624" spans="1:15" x14ac:dyDescent="0.3">
      <c r="A624">
        <v>6117666160</v>
      </c>
      <c r="B624" s="1">
        <v>42556</v>
      </c>
      <c r="C624">
        <v>7336</v>
      </c>
      <c r="D624" s="2">
        <v>553999996185303</v>
      </c>
      <c r="E624">
        <v>0</v>
      </c>
      <c r="F624">
        <v>0</v>
      </c>
      <c r="G624" s="2">
        <v>553999996185303</v>
      </c>
      <c r="H624">
        <v>0</v>
      </c>
      <c r="I624">
        <v>0</v>
      </c>
      <c r="J624">
        <v>0</v>
      </c>
      <c r="K624">
        <v>412</v>
      </c>
      <c r="L624">
        <v>456</v>
      </c>
      <c r="M624">
        <v>2469</v>
      </c>
      <c r="N624" t="str">
        <f t="shared" si="18"/>
        <v>Baja Actividad</v>
      </c>
      <c r="O624" t="str">
        <f t="shared" si="19"/>
        <v>Bajo Sedentarismo</v>
      </c>
    </row>
    <row r="625" spans="1:15" x14ac:dyDescent="0.3">
      <c r="A625">
        <v>6117666160</v>
      </c>
      <c r="B625" s="1">
        <v>42587</v>
      </c>
      <c r="C625">
        <v>7328</v>
      </c>
      <c r="D625" s="2">
        <v>553000020980835</v>
      </c>
      <c r="E625">
        <v>0</v>
      </c>
      <c r="F625">
        <v>0</v>
      </c>
      <c r="G625" s="2">
        <v>553000020980835</v>
      </c>
      <c r="H625">
        <v>0</v>
      </c>
      <c r="I625">
        <v>0</v>
      </c>
      <c r="J625">
        <v>0</v>
      </c>
      <c r="K625">
        <v>318</v>
      </c>
      <c r="L625">
        <v>517</v>
      </c>
      <c r="M625">
        <v>2250</v>
      </c>
      <c r="N625" t="str">
        <f t="shared" si="18"/>
        <v>Baja Actividad</v>
      </c>
      <c r="O625" t="str">
        <f t="shared" si="19"/>
        <v>Bajo Sedentarismo</v>
      </c>
    </row>
    <row r="626" spans="1:15" x14ac:dyDescent="0.3">
      <c r="A626">
        <v>6117666160</v>
      </c>
      <c r="B626" s="1">
        <v>42618</v>
      </c>
      <c r="C626">
        <v>4477</v>
      </c>
      <c r="D626" s="2">
        <v>338000011444092</v>
      </c>
      <c r="E626">
        <v>0</v>
      </c>
      <c r="F626">
        <v>0</v>
      </c>
      <c r="G626" s="2">
        <v>338000011444092</v>
      </c>
      <c r="H626">
        <v>0</v>
      </c>
      <c r="I626">
        <v>0</v>
      </c>
      <c r="J626">
        <v>0</v>
      </c>
      <c r="K626">
        <v>197</v>
      </c>
      <c r="L626">
        <v>125</v>
      </c>
      <c r="M626">
        <v>1248</v>
      </c>
      <c r="N626" t="str">
        <f t="shared" si="18"/>
        <v>Baja Actividad</v>
      </c>
      <c r="O626" t="str">
        <f t="shared" si="19"/>
        <v>Bajo Sedentarismo</v>
      </c>
    </row>
    <row r="627" spans="1:15" x14ac:dyDescent="0.3">
      <c r="A627">
        <v>6290855005</v>
      </c>
      <c r="B627" s="1">
        <v>42708</v>
      </c>
      <c r="C627">
        <v>4562</v>
      </c>
      <c r="D627" s="2">
        <v>345000004768372</v>
      </c>
      <c r="E627">
        <v>0</v>
      </c>
      <c r="F627">
        <v>0</v>
      </c>
      <c r="G627" s="2">
        <v>345000004768372</v>
      </c>
      <c r="H627">
        <v>0</v>
      </c>
      <c r="I627">
        <v>0</v>
      </c>
      <c r="J627">
        <v>0</v>
      </c>
      <c r="K627">
        <v>199</v>
      </c>
      <c r="L627">
        <v>1241</v>
      </c>
      <c r="M627">
        <v>2560</v>
      </c>
      <c r="N627" t="str">
        <f t="shared" si="18"/>
        <v>Baja Actividad</v>
      </c>
      <c r="O627" t="str">
        <f t="shared" si="19"/>
        <v>Alto Sedentarismo</v>
      </c>
    </row>
    <row r="628" spans="1:15" x14ac:dyDescent="0.3">
      <c r="A628">
        <v>6290855005</v>
      </c>
      <c r="B628" t="s">
        <v>15</v>
      </c>
      <c r="C628">
        <v>7142</v>
      </c>
      <c r="D628" s="2">
        <v>540000009536743</v>
      </c>
      <c r="E628">
        <v>0</v>
      </c>
      <c r="F628">
        <v>0</v>
      </c>
      <c r="G628" s="2">
        <v>53899998664856</v>
      </c>
      <c r="H628" t="s">
        <v>50</v>
      </c>
      <c r="I628">
        <v>0</v>
      </c>
      <c r="J628">
        <v>0</v>
      </c>
      <c r="K628">
        <v>350</v>
      </c>
      <c r="L628">
        <v>1090</v>
      </c>
      <c r="M628">
        <v>2905</v>
      </c>
      <c r="N628" t="str">
        <f t="shared" si="18"/>
        <v>Baja Actividad</v>
      </c>
      <c r="O628" t="str">
        <f t="shared" si="19"/>
        <v>Alto Sedentarismo</v>
      </c>
    </row>
    <row r="629" spans="1:15" x14ac:dyDescent="0.3">
      <c r="A629">
        <v>6290855005</v>
      </c>
      <c r="B629" t="s">
        <v>17</v>
      </c>
      <c r="C629">
        <v>7671</v>
      </c>
      <c r="D629" s="2">
        <v>580000019073486</v>
      </c>
      <c r="E629">
        <v>0</v>
      </c>
      <c r="F629">
        <v>0</v>
      </c>
      <c r="G629" s="2">
        <v>576999998092651</v>
      </c>
      <c r="H629" t="s">
        <v>88</v>
      </c>
      <c r="I629">
        <v>0</v>
      </c>
      <c r="J629">
        <v>0</v>
      </c>
      <c r="K629">
        <v>363</v>
      </c>
      <c r="L629">
        <v>1077</v>
      </c>
      <c r="M629">
        <v>2952</v>
      </c>
      <c r="N629" t="str">
        <f t="shared" si="18"/>
        <v>Baja Actividad</v>
      </c>
      <c r="O629" t="str">
        <f t="shared" si="19"/>
        <v>Alto Sedentarismo</v>
      </c>
    </row>
    <row r="630" spans="1:15" x14ac:dyDescent="0.3">
      <c r="A630">
        <v>6290855005</v>
      </c>
      <c r="B630" t="s">
        <v>19</v>
      </c>
      <c r="C630">
        <v>9501</v>
      </c>
      <c r="D630" s="2">
        <v>717999982833862</v>
      </c>
      <c r="E630">
        <v>0</v>
      </c>
      <c r="F630">
        <v>0</v>
      </c>
      <c r="G630" s="2">
        <v>717000007629395</v>
      </c>
      <c r="H630" t="s">
        <v>50</v>
      </c>
      <c r="I630">
        <v>0</v>
      </c>
      <c r="J630">
        <v>0</v>
      </c>
      <c r="K630">
        <v>328</v>
      </c>
      <c r="L630">
        <v>1112</v>
      </c>
      <c r="M630">
        <v>2896</v>
      </c>
      <c r="N630" t="str">
        <f t="shared" si="18"/>
        <v>Baja Actividad</v>
      </c>
      <c r="O630" t="str">
        <f t="shared" si="19"/>
        <v>Alto Sedentarismo</v>
      </c>
    </row>
    <row r="631" spans="1:15" x14ac:dyDescent="0.3">
      <c r="A631">
        <v>6290855005</v>
      </c>
      <c r="B631" t="s">
        <v>20</v>
      </c>
      <c r="C631">
        <v>8301</v>
      </c>
      <c r="D631" s="2">
        <v>628000020980835</v>
      </c>
      <c r="E631">
        <v>0</v>
      </c>
      <c r="F631">
        <v>0</v>
      </c>
      <c r="G631" s="2">
        <v>626999998092651</v>
      </c>
      <c r="H631" t="s">
        <v>50</v>
      </c>
      <c r="I631">
        <v>0</v>
      </c>
      <c r="J631">
        <v>0</v>
      </c>
      <c r="K631">
        <v>258</v>
      </c>
      <c r="L631">
        <v>1182</v>
      </c>
      <c r="M631">
        <v>2783</v>
      </c>
      <c r="N631" t="str">
        <f t="shared" si="18"/>
        <v>Baja Actividad</v>
      </c>
      <c r="O631" t="str">
        <f t="shared" si="19"/>
        <v>Alto Sedentarismo</v>
      </c>
    </row>
    <row r="632" spans="1:15" x14ac:dyDescent="0.3">
      <c r="A632">
        <v>6290855005</v>
      </c>
      <c r="B632" t="s">
        <v>22</v>
      </c>
      <c r="C632">
        <v>7851</v>
      </c>
      <c r="D632" s="2">
        <v>594000005722046</v>
      </c>
      <c r="E632" s="2">
        <v>113999998569489</v>
      </c>
      <c r="F632" t="s">
        <v>81</v>
      </c>
      <c r="G632">
        <v>4</v>
      </c>
      <c r="H632">
        <v>0</v>
      </c>
      <c r="I632">
        <v>31</v>
      </c>
      <c r="J632">
        <v>12</v>
      </c>
      <c r="K632">
        <v>225</v>
      </c>
      <c r="L632">
        <v>1172</v>
      </c>
      <c r="M632">
        <v>3171</v>
      </c>
      <c r="N632" t="str">
        <f t="shared" si="18"/>
        <v>Baja Actividad</v>
      </c>
      <c r="O632" t="str">
        <f t="shared" si="19"/>
        <v>Alto Sedentarismo</v>
      </c>
    </row>
    <row r="633" spans="1:15" x14ac:dyDescent="0.3">
      <c r="A633">
        <v>6290855005</v>
      </c>
      <c r="B633" t="s">
        <v>24</v>
      </c>
      <c r="C633">
        <v>6885</v>
      </c>
      <c r="D633" s="2">
        <v>521000003814697</v>
      </c>
      <c r="E633">
        <v>0</v>
      </c>
      <c r="F633">
        <v>0</v>
      </c>
      <c r="G633" s="2">
        <v>519000005722046</v>
      </c>
      <c r="H633" t="s">
        <v>54</v>
      </c>
      <c r="I633">
        <v>0</v>
      </c>
      <c r="J633">
        <v>0</v>
      </c>
      <c r="K633">
        <v>271</v>
      </c>
      <c r="L633">
        <v>1169</v>
      </c>
      <c r="M633">
        <v>2766</v>
      </c>
      <c r="N633" t="str">
        <f t="shared" si="18"/>
        <v>Baja Actividad</v>
      </c>
      <c r="O633" t="str">
        <f t="shared" si="19"/>
        <v>Alto Sedentarismo</v>
      </c>
    </row>
    <row r="634" spans="1:15" x14ac:dyDescent="0.3">
      <c r="A634">
        <v>6290855005</v>
      </c>
      <c r="B634" t="s">
        <v>27</v>
      </c>
      <c r="C634">
        <v>7142</v>
      </c>
      <c r="D634" s="2">
        <v>540000009536743</v>
      </c>
      <c r="E634">
        <v>0</v>
      </c>
      <c r="F634">
        <v>0</v>
      </c>
      <c r="G634" s="2">
        <v>53899998664856</v>
      </c>
      <c r="H634" t="s">
        <v>50</v>
      </c>
      <c r="I634">
        <v>0</v>
      </c>
      <c r="J634">
        <v>0</v>
      </c>
      <c r="K634">
        <v>321</v>
      </c>
      <c r="L634">
        <v>1119</v>
      </c>
      <c r="M634">
        <v>2839</v>
      </c>
      <c r="N634" t="str">
        <f t="shared" si="18"/>
        <v>Baja Actividad</v>
      </c>
      <c r="O634" t="str">
        <f t="shared" si="19"/>
        <v>Alto Sedentarismo</v>
      </c>
    </row>
    <row r="635" spans="1:15" x14ac:dyDescent="0.3">
      <c r="A635">
        <v>6290855005</v>
      </c>
      <c r="B635" t="s">
        <v>28</v>
      </c>
      <c r="C635">
        <v>6361</v>
      </c>
      <c r="D635" s="2">
        <v>480999994277954</v>
      </c>
      <c r="E635">
        <v>0</v>
      </c>
      <c r="F635">
        <v>0</v>
      </c>
      <c r="G635" s="2">
        <v>480000019073486</v>
      </c>
      <c r="H635" t="s">
        <v>50</v>
      </c>
      <c r="I635">
        <v>0</v>
      </c>
      <c r="J635">
        <v>0</v>
      </c>
      <c r="K635">
        <v>258</v>
      </c>
      <c r="L635">
        <v>1182</v>
      </c>
      <c r="M635">
        <v>2701</v>
      </c>
      <c r="N635" t="str">
        <f t="shared" si="18"/>
        <v>Baja Actividad</v>
      </c>
      <c r="O635" t="str">
        <f t="shared" si="19"/>
        <v>Alto Sedentarismo</v>
      </c>
    </row>
    <row r="636" spans="1:15" x14ac:dyDescent="0.3">
      <c r="A636">
        <v>6290855005</v>
      </c>
      <c r="B636" t="s">
        <v>30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1440</v>
      </c>
      <c r="M636">
        <v>2060</v>
      </c>
      <c r="N636" t="str">
        <f t="shared" si="18"/>
        <v>Baja Actividad</v>
      </c>
      <c r="O636" t="str">
        <f t="shared" si="19"/>
        <v>Alto Sedentarismo</v>
      </c>
    </row>
    <row r="637" spans="1:15" x14ac:dyDescent="0.3">
      <c r="A637">
        <v>6290855005</v>
      </c>
      <c r="B637" t="s">
        <v>32</v>
      </c>
      <c r="C637">
        <v>6238</v>
      </c>
      <c r="D637" s="2">
        <v>471999979019165</v>
      </c>
      <c r="E637">
        <v>0</v>
      </c>
      <c r="F637">
        <v>0</v>
      </c>
      <c r="G637" s="2">
        <v>471999979019165</v>
      </c>
      <c r="H637">
        <v>0</v>
      </c>
      <c r="I637">
        <v>0</v>
      </c>
      <c r="J637">
        <v>0</v>
      </c>
      <c r="K637">
        <v>302</v>
      </c>
      <c r="L637">
        <v>1138</v>
      </c>
      <c r="M637">
        <v>2796</v>
      </c>
      <c r="N637" t="str">
        <f t="shared" si="18"/>
        <v>Baja Actividad</v>
      </c>
      <c r="O637" t="str">
        <f t="shared" si="19"/>
        <v>Alto Sedentarismo</v>
      </c>
    </row>
    <row r="638" spans="1:15" x14ac:dyDescent="0.3">
      <c r="A638">
        <v>6290855005</v>
      </c>
      <c r="B638" t="s">
        <v>33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33</v>
      </c>
      <c r="J638">
        <v>0</v>
      </c>
      <c r="K638">
        <v>0</v>
      </c>
      <c r="L638">
        <v>1407</v>
      </c>
      <c r="M638">
        <v>2664</v>
      </c>
      <c r="N638" t="str">
        <f t="shared" si="18"/>
        <v>Baja Actividad</v>
      </c>
      <c r="O638" t="str">
        <f t="shared" si="19"/>
        <v>Alto Sedentarismo</v>
      </c>
    </row>
    <row r="639" spans="1:15" x14ac:dyDescent="0.3">
      <c r="A639">
        <v>6290855005</v>
      </c>
      <c r="B639" t="s">
        <v>35</v>
      </c>
      <c r="C639">
        <v>5896</v>
      </c>
      <c r="D639" s="2">
        <v>446000003814697</v>
      </c>
      <c r="E639">
        <v>0</v>
      </c>
      <c r="F639">
        <v>0</v>
      </c>
      <c r="G639" s="2">
        <v>446000003814697</v>
      </c>
      <c r="H639">
        <v>0</v>
      </c>
      <c r="I639">
        <v>0</v>
      </c>
      <c r="J639">
        <v>0</v>
      </c>
      <c r="K639">
        <v>258</v>
      </c>
      <c r="L639">
        <v>1182</v>
      </c>
      <c r="M639">
        <v>2703</v>
      </c>
      <c r="N639" t="str">
        <f t="shared" si="18"/>
        <v>Baja Actividad</v>
      </c>
      <c r="O639" t="str">
        <f t="shared" si="19"/>
        <v>Alto Sedentarismo</v>
      </c>
    </row>
    <row r="640" spans="1:15" x14ac:dyDescent="0.3">
      <c r="A640">
        <v>6290855005</v>
      </c>
      <c r="B640" t="s">
        <v>37</v>
      </c>
      <c r="C640">
        <v>7802</v>
      </c>
      <c r="D640" s="2">
        <v>590000009536743</v>
      </c>
      <c r="E640" t="s">
        <v>91</v>
      </c>
      <c r="F640" t="s">
        <v>98</v>
      </c>
      <c r="G640" s="2">
        <v>503000020980835</v>
      </c>
      <c r="H640" t="s">
        <v>50</v>
      </c>
      <c r="I640">
        <v>8</v>
      </c>
      <c r="J640">
        <v>3</v>
      </c>
      <c r="K640">
        <v>249</v>
      </c>
      <c r="L640">
        <v>1180</v>
      </c>
      <c r="M640">
        <v>2771</v>
      </c>
      <c r="N640" t="str">
        <f t="shared" si="18"/>
        <v>Baja Actividad</v>
      </c>
      <c r="O640" t="str">
        <f t="shared" si="19"/>
        <v>Alto Sedentarismo</v>
      </c>
    </row>
    <row r="641" spans="1:15" x14ac:dyDescent="0.3">
      <c r="A641">
        <v>6290855005</v>
      </c>
      <c r="B641" t="s">
        <v>39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1440</v>
      </c>
      <c r="M641">
        <v>2060</v>
      </c>
      <c r="N641" t="str">
        <f t="shared" si="18"/>
        <v>Baja Actividad</v>
      </c>
      <c r="O641" t="str">
        <f t="shared" si="19"/>
        <v>Alto Sedentarismo</v>
      </c>
    </row>
    <row r="642" spans="1:15" x14ac:dyDescent="0.3">
      <c r="A642">
        <v>6290855005</v>
      </c>
      <c r="B642" t="s">
        <v>41</v>
      </c>
      <c r="C642">
        <v>5565</v>
      </c>
      <c r="D642" s="2">
        <v>421000003814697</v>
      </c>
      <c r="E642">
        <v>0</v>
      </c>
      <c r="F642">
        <v>0</v>
      </c>
      <c r="G642" s="2">
        <v>417999982833862</v>
      </c>
      <c r="H642" t="s">
        <v>88</v>
      </c>
      <c r="I642">
        <v>0</v>
      </c>
      <c r="J642">
        <v>0</v>
      </c>
      <c r="K642">
        <v>287</v>
      </c>
      <c r="L642">
        <v>1153</v>
      </c>
      <c r="M642">
        <v>2743</v>
      </c>
      <c r="N642" t="str">
        <f t="shared" si="18"/>
        <v>Baja Actividad</v>
      </c>
      <c r="O642" t="str">
        <f t="shared" si="19"/>
        <v>Alto Sedentarismo</v>
      </c>
    </row>
    <row r="643" spans="1:15" x14ac:dyDescent="0.3">
      <c r="A643">
        <v>6290855005</v>
      </c>
      <c r="B643" t="s">
        <v>42</v>
      </c>
      <c r="C643">
        <v>5731</v>
      </c>
      <c r="D643" s="2">
        <v>432999992370605</v>
      </c>
      <c r="E643">
        <v>0</v>
      </c>
      <c r="F643">
        <v>0</v>
      </c>
      <c r="G643" s="2">
        <v>432999992370605</v>
      </c>
      <c r="H643">
        <v>0</v>
      </c>
      <c r="I643">
        <v>0</v>
      </c>
      <c r="J643">
        <v>0</v>
      </c>
      <c r="K643">
        <v>255</v>
      </c>
      <c r="L643">
        <v>1185</v>
      </c>
      <c r="M643">
        <v>2687</v>
      </c>
      <c r="N643" t="str">
        <f t="shared" ref="N643:N706" si="20">IF(C643&gt;=10000, "Alta Actividad", "Baja Actividad")</f>
        <v>Baja Actividad</v>
      </c>
      <c r="O643" t="str">
        <f t="shared" ref="O643:O706" si="21">IF(L643&gt;=700, "Alto Sedentarismo",  "Bajo Sedentarismo")</f>
        <v>Alto Sedentarismo</v>
      </c>
    </row>
    <row r="644" spans="1:15" x14ac:dyDescent="0.3">
      <c r="A644">
        <v>6290855005</v>
      </c>
      <c r="B644" t="s">
        <v>43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1440</v>
      </c>
      <c r="M644">
        <v>2060</v>
      </c>
      <c r="N644" t="str">
        <f t="shared" si="20"/>
        <v>Baja Actividad</v>
      </c>
      <c r="O644" t="str">
        <f t="shared" si="21"/>
        <v>Alto Sedentarismo</v>
      </c>
    </row>
    <row r="645" spans="1:15" x14ac:dyDescent="0.3">
      <c r="A645">
        <v>6290855005</v>
      </c>
      <c r="B645" t="s">
        <v>45</v>
      </c>
      <c r="C645">
        <v>6744</v>
      </c>
      <c r="D645" s="2">
        <v>509999990463257</v>
      </c>
      <c r="E645">
        <v>0</v>
      </c>
      <c r="F645">
        <v>0</v>
      </c>
      <c r="G645" s="2">
        <v>509000015258789</v>
      </c>
      <c r="H645" t="s">
        <v>50</v>
      </c>
      <c r="I645">
        <v>0</v>
      </c>
      <c r="J645">
        <v>0</v>
      </c>
      <c r="K645">
        <v>324</v>
      </c>
      <c r="L645">
        <v>1116</v>
      </c>
      <c r="M645">
        <v>2843</v>
      </c>
      <c r="N645" t="str">
        <f t="shared" si="20"/>
        <v>Baja Actividad</v>
      </c>
      <c r="O645" t="str">
        <f t="shared" si="21"/>
        <v>Alto Sedentarismo</v>
      </c>
    </row>
    <row r="646" spans="1:15" x14ac:dyDescent="0.3">
      <c r="A646">
        <v>6290855005</v>
      </c>
      <c r="B646" s="1">
        <v>42374</v>
      </c>
      <c r="C646">
        <v>9837</v>
      </c>
      <c r="D646" s="2">
        <v>744000005722046</v>
      </c>
      <c r="E646" t="s">
        <v>101</v>
      </c>
      <c r="F646" t="s">
        <v>148</v>
      </c>
      <c r="G646">
        <v>4</v>
      </c>
      <c r="H646" t="s">
        <v>54</v>
      </c>
      <c r="I646">
        <v>8</v>
      </c>
      <c r="J646">
        <v>95</v>
      </c>
      <c r="K646">
        <v>282</v>
      </c>
      <c r="L646">
        <v>1055</v>
      </c>
      <c r="M646">
        <v>3327</v>
      </c>
      <c r="N646" t="str">
        <f t="shared" si="20"/>
        <v>Baja Actividad</v>
      </c>
      <c r="O646" t="str">
        <f t="shared" si="21"/>
        <v>Alto Sedentarismo</v>
      </c>
    </row>
    <row r="647" spans="1:15" x14ac:dyDescent="0.3">
      <c r="A647">
        <v>6290855005</v>
      </c>
      <c r="B647" s="1">
        <v>42405</v>
      </c>
      <c r="C647">
        <v>6781</v>
      </c>
      <c r="D647" s="2">
        <v>513000011444092</v>
      </c>
      <c r="E647">
        <v>0</v>
      </c>
      <c r="F647">
        <v>0</v>
      </c>
      <c r="G647" s="2">
        <v>51100001335144</v>
      </c>
      <c r="H647" t="s">
        <v>54</v>
      </c>
      <c r="I647">
        <v>0</v>
      </c>
      <c r="J647">
        <v>0</v>
      </c>
      <c r="K647">
        <v>268</v>
      </c>
      <c r="L647">
        <v>1172</v>
      </c>
      <c r="M647">
        <v>2725</v>
      </c>
      <c r="N647" t="str">
        <f t="shared" si="20"/>
        <v>Baja Actividad</v>
      </c>
      <c r="O647" t="str">
        <f t="shared" si="21"/>
        <v>Alto Sedentarismo</v>
      </c>
    </row>
    <row r="648" spans="1:15" x14ac:dyDescent="0.3">
      <c r="A648">
        <v>6290855005</v>
      </c>
      <c r="B648" s="1">
        <v>42434</v>
      </c>
      <c r="C648">
        <v>6047</v>
      </c>
      <c r="D648" s="2">
        <v>457000017166138</v>
      </c>
      <c r="E648">
        <v>0</v>
      </c>
      <c r="F648">
        <v>0</v>
      </c>
      <c r="G648" s="2">
        <v>457000017166138</v>
      </c>
      <c r="H648">
        <v>0</v>
      </c>
      <c r="I648">
        <v>0</v>
      </c>
      <c r="J648">
        <v>0</v>
      </c>
      <c r="K648">
        <v>240</v>
      </c>
      <c r="L648">
        <v>1200</v>
      </c>
      <c r="M648">
        <v>2671</v>
      </c>
      <c r="N648" t="str">
        <f t="shared" si="20"/>
        <v>Baja Actividad</v>
      </c>
      <c r="O648" t="str">
        <f t="shared" si="21"/>
        <v>Alto Sedentarismo</v>
      </c>
    </row>
    <row r="649" spans="1:15" x14ac:dyDescent="0.3">
      <c r="A649">
        <v>6290855005</v>
      </c>
      <c r="B649" s="1">
        <v>42465</v>
      </c>
      <c r="C649">
        <v>5832</v>
      </c>
      <c r="D649" s="2">
        <v>440999984741211</v>
      </c>
      <c r="E649">
        <v>0</v>
      </c>
      <c r="F649">
        <v>0</v>
      </c>
      <c r="G649" s="2">
        <v>440000009536743</v>
      </c>
      <c r="H649" t="s">
        <v>50</v>
      </c>
      <c r="I649">
        <v>0</v>
      </c>
      <c r="J649">
        <v>0</v>
      </c>
      <c r="K649">
        <v>272</v>
      </c>
      <c r="L649">
        <v>1168</v>
      </c>
      <c r="M649">
        <v>2718</v>
      </c>
      <c r="N649" t="str">
        <f t="shared" si="20"/>
        <v>Baja Actividad</v>
      </c>
      <c r="O649" t="str">
        <f t="shared" si="21"/>
        <v>Alto Sedentarismo</v>
      </c>
    </row>
    <row r="650" spans="1:15" x14ac:dyDescent="0.3">
      <c r="A650">
        <v>6290855005</v>
      </c>
      <c r="B650" s="1">
        <v>42495</v>
      </c>
      <c r="C650">
        <v>6339</v>
      </c>
      <c r="D650" s="2">
        <v>478999996185303</v>
      </c>
      <c r="E650">
        <v>0</v>
      </c>
      <c r="F650">
        <v>0</v>
      </c>
      <c r="G650" s="2">
        <v>478999996185303</v>
      </c>
      <c r="H650">
        <v>0</v>
      </c>
      <c r="I650">
        <v>0</v>
      </c>
      <c r="J650">
        <v>0</v>
      </c>
      <c r="K650">
        <v>239</v>
      </c>
      <c r="L650">
        <v>1201</v>
      </c>
      <c r="M650">
        <v>2682</v>
      </c>
      <c r="N650" t="str">
        <f t="shared" si="20"/>
        <v>Baja Actividad</v>
      </c>
      <c r="O650" t="str">
        <f t="shared" si="21"/>
        <v>Alto Sedentarismo</v>
      </c>
    </row>
    <row r="651" spans="1:15" x14ac:dyDescent="0.3">
      <c r="A651">
        <v>6290855005</v>
      </c>
      <c r="B651" s="1">
        <v>42526</v>
      </c>
      <c r="C651">
        <v>6116</v>
      </c>
      <c r="D651" s="2">
        <v>461999988555908</v>
      </c>
      <c r="E651">
        <v>0</v>
      </c>
      <c r="F651">
        <v>0</v>
      </c>
      <c r="G651" s="2">
        <v>459000015258789</v>
      </c>
      <c r="H651" t="s">
        <v>88</v>
      </c>
      <c r="I651">
        <v>0</v>
      </c>
      <c r="J651">
        <v>0</v>
      </c>
      <c r="K651">
        <v>305</v>
      </c>
      <c r="L651">
        <v>1135</v>
      </c>
      <c r="M651">
        <v>2806</v>
      </c>
      <c r="N651" t="str">
        <f t="shared" si="20"/>
        <v>Baja Actividad</v>
      </c>
      <c r="O651" t="str">
        <f t="shared" si="21"/>
        <v>Alto Sedentarismo</v>
      </c>
    </row>
    <row r="652" spans="1:15" x14ac:dyDescent="0.3">
      <c r="A652">
        <v>6290855005</v>
      </c>
      <c r="B652" s="1">
        <v>42556</v>
      </c>
      <c r="C652">
        <v>5510</v>
      </c>
      <c r="D652" s="2">
        <v>417000007629395</v>
      </c>
      <c r="E652">
        <v>0</v>
      </c>
      <c r="F652">
        <v>0</v>
      </c>
      <c r="G652" s="2">
        <v>415999984741211</v>
      </c>
      <c r="H652">
        <v>0</v>
      </c>
      <c r="I652">
        <v>0</v>
      </c>
      <c r="J652">
        <v>0</v>
      </c>
      <c r="K652">
        <v>227</v>
      </c>
      <c r="L652">
        <v>1213</v>
      </c>
      <c r="M652">
        <v>2613</v>
      </c>
      <c r="N652" t="str">
        <f t="shared" si="20"/>
        <v>Baja Actividad</v>
      </c>
      <c r="O652" t="str">
        <f t="shared" si="21"/>
        <v>Alto Sedentarismo</v>
      </c>
    </row>
    <row r="653" spans="1:15" x14ac:dyDescent="0.3">
      <c r="A653">
        <v>6290855005</v>
      </c>
      <c r="B653" s="1">
        <v>42587</v>
      </c>
      <c r="C653">
        <v>7706</v>
      </c>
      <c r="D653" s="2">
        <v>582999992370605</v>
      </c>
      <c r="E653">
        <v>0</v>
      </c>
      <c r="F653">
        <v>0</v>
      </c>
      <c r="G653" s="2">
        <v>582000017166138</v>
      </c>
      <c r="H653">
        <v>0</v>
      </c>
      <c r="I653">
        <v>0</v>
      </c>
      <c r="J653">
        <v>0</v>
      </c>
      <c r="K653">
        <v>251</v>
      </c>
      <c r="L653">
        <v>1189</v>
      </c>
      <c r="M653">
        <v>2712</v>
      </c>
      <c r="N653" t="str">
        <f t="shared" si="20"/>
        <v>Baja Actividad</v>
      </c>
      <c r="O653" t="str">
        <f t="shared" si="21"/>
        <v>Alto Sedentarismo</v>
      </c>
    </row>
    <row r="654" spans="1:15" x14ac:dyDescent="0.3">
      <c r="A654">
        <v>6290855005</v>
      </c>
      <c r="B654" s="1">
        <v>42618</v>
      </c>
      <c r="C654">
        <v>6277</v>
      </c>
      <c r="D654" t="s">
        <v>123</v>
      </c>
      <c r="E654">
        <v>0</v>
      </c>
      <c r="F654">
        <v>0</v>
      </c>
      <c r="G654" s="2">
        <v>473000001907349</v>
      </c>
      <c r="H654" t="s">
        <v>54</v>
      </c>
      <c r="I654">
        <v>0</v>
      </c>
      <c r="J654">
        <v>0</v>
      </c>
      <c r="K654">
        <v>264</v>
      </c>
      <c r="L654">
        <v>800</v>
      </c>
      <c r="M654">
        <v>2175</v>
      </c>
      <c r="N654" t="str">
        <f t="shared" si="20"/>
        <v>Baja Actividad</v>
      </c>
      <c r="O654" t="str">
        <f t="shared" si="21"/>
        <v>Alto Sedentarismo</v>
      </c>
    </row>
    <row r="655" spans="1:15" x14ac:dyDescent="0.3">
      <c r="A655">
        <v>6290855005</v>
      </c>
      <c r="B655" s="1">
        <v>42648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1440</v>
      </c>
      <c r="M655">
        <v>0</v>
      </c>
      <c r="N655" t="str">
        <f t="shared" si="20"/>
        <v>Baja Actividad</v>
      </c>
      <c r="O655" t="str">
        <f t="shared" si="21"/>
        <v>Alto Sedentarismo</v>
      </c>
    </row>
    <row r="656" spans="1:15" x14ac:dyDescent="0.3">
      <c r="A656">
        <v>6775888955</v>
      </c>
      <c r="B656" s="1">
        <v>42708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1440</v>
      </c>
      <c r="M656">
        <v>1841</v>
      </c>
      <c r="N656" t="str">
        <f t="shared" si="20"/>
        <v>Baja Actividad</v>
      </c>
      <c r="O656" t="str">
        <f t="shared" si="21"/>
        <v>Alto Sedentarismo</v>
      </c>
    </row>
    <row r="657" spans="1:15" x14ac:dyDescent="0.3">
      <c r="A657">
        <v>6775888955</v>
      </c>
      <c r="B657" t="s">
        <v>15</v>
      </c>
      <c r="C657">
        <v>4053</v>
      </c>
      <c r="D657" s="2">
        <v>291000008583069</v>
      </c>
      <c r="E657" s="2">
        <v>111000001430511</v>
      </c>
      <c r="F657" t="s">
        <v>67</v>
      </c>
      <c r="G657" s="2">
        <v>122000002861023</v>
      </c>
      <c r="H657">
        <v>0</v>
      </c>
      <c r="I657">
        <v>17</v>
      </c>
      <c r="J657">
        <v>18</v>
      </c>
      <c r="K657">
        <v>85</v>
      </c>
      <c r="L657">
        <v>1053</v>
      </c>
      <c r="M657">
        <v>2400</v>
      </c>
      <c r="N657" t="str">
        <f t="shared" si="20"/>
        <v>Baja Actividad</v>
      </c>
      <c r="O657" t="str">
        <f t="shared" si="21"/>
        <v>Alto Sedentarismo</v>
      </c>
    </row>
    <row r="658" spans="1:15" x14ac:dyDescent="0.3">
      <c r="A658">
        <v>6775888955</v>
      </c>
      <c r="B658" t="s">
        <v>17</v>
      </c>
      <c r="C658">
        <v>5162</v>
      </c>
      <c r="D658" s="2">
        <v>370000004768372</v>
      </c>
      <c r="E658" t="s">
        <v>34</v>
      </c>
      <c r="F658" t="s">
        <v>58</v>
      </c>
      <c r="G658" s="2">
        <v>197000002861023</v>
      </c>
      <c r="H658">
        <v>0</v>
      </c>
      <c r="I658">
        <v>14</v>
      </c>
      <c r="J658">
        <v>24</v>
      </c>
      <c r="K658">
        <v>105</v>
      </c>
      <c r="L658">
        <v>863</v>
      </c>
      <c r="M658">
        <v>2507</v>
      </c>
      <c r="N658" t="str">
        <f t="shared" si="20"/>
        <v>Baja Actividad</v>
      </c>
      <c r="O658" t="str">
        <f t="shared" si="21"/>
        <v>Alto Sedentarismo</v>
      </c>
    </row>
    <row r="659" spans="1:15" x14ac:dyDescent="0.3">
      <c r="A659">
        <v>6775888955</v>
      </c>
      <c r="B659" t="s">
        <v>19</v>
      </c>
      <c r="C659">
        <v>1282</v>
      </c>
      <c r="D659" t="s">
        <v>40</v>
      </c>
      <c r="E659">
        <v>0</v>
      </c>
      <c r="F659">
        <v>0</v>
      </c>
      <c r="G659" t="s">
        <v>40</v>
      </c>
      <c r="H659">
        <v>0</v>
      </c>
      <c r="I659">
        <v>0</v>
      </c>
      <c r="J659">
        <v>0</v>
      </c>
      <c r="K659">
        <v>58</v>
      </c>
      <c r="L659">
        <v>976</v>
      </c>
      <c r="M659">
        <v>2127</v>
      </c>
      <c r="N659" t="str">
        <f t="shared" si="20"/>
        <v>Baja Actividad</v>
      </c>
      <c r="O659" t="str">
        <f t="shared" si="21"/>
        <v>Alto Sedentarismo</v>
      </c>
    </row>
    <row r="660" spans="1:15" x14ac:dyDescent="0.3">
      <c r="A660">
        <v>6775888955</v>
      </c>
      <c r="B660" t="s">
        <v>20</v>
      </c>
      <c r="C660">
        <v>4732</v>
      </c>
      <c r="D660" s="2">
        <v>339000010490417</v>
      </c>
      <c r="E660" s="2">
        <v>251999998092651</v>
      </c>
      <c r="F660" t="s">
        <v>82</v>
      </c>
      <c r="G660" t="s">
        <v>69</v>
      </c>
      <c r="H660">
        <v>0</v>
      </c>
      <c r="I660">
        <v>36</v>
      </c>
      <c r="J660">
        <v>18</v>
      </c>
      <c r="K660">
        <v>9</v>
      </c>
      <c r="L660">
        <v>1377</v>
      </c>
      <c r="M660">
        <v>2225</v>
      </c>
      <c r="N660" t="str">
        <f t="shared" si="20"/>
        <v>Baja Actividad</v>
      </c>
      <c r="O660" t="str">
        <f t="shared" si="21"/>
        <v>Alto Sedentarismo</v>
      </c>
    </row>
    <row r="661" spans="1:15" x14ac:dyDescent="0.3">
      <c r="A661">
        <v>6775888955</v>
      </c>
      <c r="B661" t="s">
        <v>22</v>
      </c>
      <c r="C661">
        <v>2497</v>
      </c>
      <c r="D661" s="2">
        <v>178999996185303</v>
      </c>
      <c r="E661" t="s">
        <v>31</v>
      </c>
      <c r="F661" s="2">
        <v>112999999523163</v>
      </c>
      <c r="G661" t="s">
        <v>75</v>
      </c>
      <c r="H661">
        <v>0</v>
      </c>
      <c r="I661">
        <v>5</v>
      </c>
      <c r="J661">
        <v>24</v>
      </c>
      <c r="K661">
        <v>19</v>
      </c>
      <c r="L661">
        <v>1392</v>
      </c>
      <c r="M661">
        <v>2067</v>
      </c>
      <c r="N661" t="str">
        <f t="shared" si="20"/>
        <v>Baja Actividad</v>
      </c>
      <c r="O661" t="str">
        <f t="shared" si="21"/>
        <v>Alto Sedentarismo</v>
      </c>
    </row>
    <row r="662" spans="1:15" x14ac:dyDescent="0.3">
      <c r="A662">
        <v>6775888955</v>
      </c>
      <c r="B662" t="s">
        <v>24</v>
      </c>
      <c r="C662">
        <v>8294</v>
      </c>
      <c r="D662" s="2">
        <v>594999980926514</v>
      </c>
      <c r="E662">
        <v>2</v>
      </c>
      <c r="F662" t="s">
        <v>99</v>
      </c>
      <c r="G662" s="2">
        <v>317000007629395</v>
      </c>
      <c r="H662">
        <v>0</v>
      </c>
      <c r="I662">
        <v>30</v>
      </c>
      <c r="J662">
        <v>31</v>
      </c>
      <c r="K662">
        <v>146</v>
      </c>
      <c r="L662">
        <v>1233</v>
      </c>
      <c r="M662">
        <v>2798</v>
      </c>
      <c r="N662" t="str">
        <f t="shared" si="20"/>
        <v>Baja Actividad</v>
      </c>
      <c r="O662" t="str">
        <f t="shared" si="21"/>
        <v>Alto Sedentarismo</v>
      </c>
    </row>
    <row r="663" spans="1:15" x14ac:dyDescent="0.3">
      <c r="A663">
        <v>6775888955</v>
      </c>
      <c r="B663" t="s">
        <v>27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1440</v>
      </c>
      <c r="M663">
        <v>1841</v>
      </c>
      <c r="N663" t="str">
        <f t="shared" si="20"/>
        <v>Baja Actividad</v>
      </c>
      <c r="O663" t="str">
        <f t="shared" si="21"/>
        <v>Alto Sedentarismo</v>
      </c>
    </row>
    <row r="664" spans="1:15" x14ac:dyDescent="0.3">
      <c r="A664">
        <v>6775888955</v>
      </c>
      <c r="B664" t="s">
        <v>28</v>
      </c>
      <c r="C664">
        <v>10771</v>
      </c>
      <c r="D664" s="2">
        <v>771999979019165</v>
      </c>
      <c r="E664" s="2">
        <v>376999998092651</v>
      </c>
      <c r="F664" s="2">
        <v>174000000953674</v>
      </c>
      <c r="G664" s="2">
        <v>222000002861023</v>
      </c>
      <c r="H664">
        <v>0</v>
      </c>
      <c r="I664">
        <v>70</v>
      </c>
      <c r="J664">
        <v>113</v>
      </c>
      <c r="K664">
        <v>178</v>
      </c>
      <c r="L664">
        <v>1079</v>
      </c>
      <c r="M664">
        <v>3727</v>
      </c>
      <c r="N664" t="str">
        <f t="shared" si="20"/>
        <v>Alta Actividad</v>
      </c>
      <c r="O664" t="str">
        <f t="shared" si="21"/>
        <v>Alto Sedentarismo</v>
      </c>
    </row>
    <row r="665" spans="1:15" x14ac:dyDescent="0.3">
      <c r="A665">
        <v>6775888955</v>
      </c>
      <c r="B665" t="s">
        <v>30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1440</v>
      </c>
      <c r="M665">
        <v>1841</v>
      </c>
      <c r="N665" t="str">
        <f t="shared" si="20"/>
        <v>Baja Actividad</v>
      </c>
      <c r="O665" t="str">
        <f t="shared" si="21"/>
        <v>Alto Sedentarismo</v>
      </c>
    </row>
    <row r="666" spans="1:15" x14ac:dyDescent="0.3">
      <c r="A666">
        <v>6775888955</v>
      </c>
      <c r="B666" t="s">
        <v>32</v>
      </c>
      <c r="C666">
        <v>637</v>
      </c>
      <c r="D666" t="s">
        <v>108</v>
      </c>
      <c r="E666">
        <v>0</v>
      </c>
      <c r="F666">
        <v>0</v>
      </c>
      <c r="G666" t="s">
        <v>108</v>
      </c>
      <c r="H666">
        <v>0</v>
      </c>
      <c r="I666">
        <v>0</v>
      </c>
      <c r="J666">
        <v>0</v>
      </c>
      <c r="K666">
        <v>20</v>
      </c>
      <c r="L666">
        <v>1420</v>
      </c>
      <c r="M666">
        <v>1922</v>
      </c>
      <c r="N666" t="str">
        <f t="shared" si="20"/>
        <v>Baja Actividad</v>
      </c>
      <c r="O666" t="str">
        <f t="shared" si="21"/>
        <v>Alto Sedentarismo</v>
      </c>
    </row>
    <row r="667" spans="1:15" x14ac:dyDescent="0.3">
      <c r="A667">
        <v>6775888955</v>
      </c>
      <c r="B667" t="s">
        <v>33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1440</v>
      </c>
      <c r="M667">
        <v>1841</v>
      </c>
      <c r="N667" t="str">
        <f t="shared" si="20"/>
        <v>Baja Actividad</v>
      </c>
      <c r="O667" t="str">
        <f t="shared" si="21"/>
        <v>Alto Sedentarismo</v>
      </c>
    </row>
    <row r="668" spans="1:15" x14ac:dyDescent="0.3">
      <c r="A668">
        <v>6775888955</v>
      </c>
      <c r="B668" t="s">
        <v>35</v>
      </c>
      <c r="C668">
        <v>2153</v>
      </c>
      <c r="D668" s="2">
        <v>153999996185303</v>
      </c>
      <c r="E668" t="s">
        <v>99</v>
      </c>
      <c r="F668" t="s">
        <v>53</v>
      </c>
      <c r="G668" t="s">
        <v>63</v>
      </c>
      <c r="H668">
        <v>0</v>
      </c>
      <c r="I668">
        <v>11</v>
      </c>
      <c r="J668">
        <v>18</v>
      </c>
      <c r="K668">
        <v>11</v>
      </c>
      <c r="L668">
        <v>1400</v>
      </c>
      <c r="M668">
        <v>2053</v>
      </c>
      <c r="N668" t="str">
        <f t="shared" si="20"/>
        <v>Baja Actividad</v>
      </c>
      <c r="O668" t="str">
        <f t="shared" si="21"/>
        <v>Alto Sedentarismo</v>
      </c>
    </row>
    <row r="669" spans="1:15" x14ac:dyDescent="0.3">
      <c r="A669">
        <v>6775888955</v>
      </c>
      <c r="B669" t="s">
        <v>37</v>
      </c>
      <c r="C669">
        <v>6474</v>
      </c>
      <c r="D669" s="2">
        <v>46399998664856</v>
      </c>
      <c r="E669" s="2">
        <v>226999998092651</v>
      </c>
      <c r="F669" t="s">
        <v>108</v>
      </c>
      <c r="G669" s="2">
        <v>189999997615814</v>
      </c>
      <c r="H669">
        <v>0</v>
      </c>
      <c r="I669">
        <v>33</v>
      </c>
      <c r="J669">
        <v>13</v>
      </c>
      <c r="K669">
        <v>92</v>
      </c>
      <c r="L669">
        <v>1302</v>
      </c>
      <c r="M669">
        <v>2484</v>
      </c>
      <c r="N669" t="str">
        <f t="shared" si="20"/>
        <v>Baja Actividad</v>
      </c>
      <c r="O669" t="str">
        <f t="shared" si="21"/>
        <v>Alto Sedentarismo</v>
      </c>
    </row>
    <row r="670" spans="1:15" x14ac:dyDescent="0.3">
      <c r="A670">
        <v>6775888955</v>
      </c>
      <c r="B670" t="s">
        <v>39</v>
      </c>
      <c r="C670">
        <v>7091</v>
      </c>
      <c r="D670" s="2">
        <v>526999998092651</v>
      </c>
      <c r="E670" s="2">
        <v>348000001907349</v>
      </c>
      <c r="F670" t="s">
        <v>34</v>
      </c>
      <c r="G670" t="s">
        <v>97</v>
      </c>
      <c r="H670">
        <v>0</v>
      </c>
      <c r="I670">
        <v>42</v>
      </c>
      <c r="J670">
        <v>30</v>
      </c>
      <c r="K670">
        <v>47</v>
      </c>
      <c r="L670">
        <v>1321</v>
      </c>
      <c r="M670">
        <v>2584</v>
      </c>
      <c r="N670" t="str">
        <f t="shared" si="20"/>
        <v>Baja Actividad</v>
      </c>
      <c r="O670" t="str">
        <f t="shared" si="21"/>
        <v>Alto Sedentarismo</v>
      </c>
    </row>
    <row r="671" spans="1:15" x14ac:dyDescent="0.3">
      <c r="A671">
        <v>6775888955</v>
      </c>
      <c r="B671" t="s">
        <v>41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1440</v>
      </c>
      <c r="M671">
        <v>1841</v>
      </c>
      <c r="N671" t="str">
        <f t="shared" si="20"/>
        <v>Baja Actividad</v>
      </c>
      <c r="O671" t="str">
        <f t="shared" si="21"/>
        <v>Alto Sedentarismo</v>
      </c>
    </row>
    <row r="672" spans="1:15" x14ac:dyDescent="0.3">
      <c r="A672">
        <v>6775888955</v>
      </c>
      <c r="B672" t="s">
        <v>42</v>
      </c>
      <c r="C672">
        <v>703</v>
      </c>
      <c r="D672" t="s">
        <v>44</v>
      </c>
      <c r="E672" t="s">
        <v>69</v>
      </c>
      <c r="F672" t="s">
        <v>56</v>
      </c>
      <c r="G672" t="s">
        <v>72</v>
      </c>
      <c r="H672">
        <v>0</v>
      </c>
      <c r="I672">
        <v>2</v>
      </c>
      <c r="J672">
        <v>13</v>
      </c>
      <c r="K672">
        <v>15</v>
      </c>
      <c r="L672">
        <v>1410</v>
      </c>
      <c r="M672">
        <v>1993</v>
      </c>
      <c r="N672" t="str">
        <f t="shared" si="20"/>
        <v>Baja Actividad</v>
      </c>
      <c r="O672" t="str">
        <f t="shared" si="21"/>
        <v>Alto Sedentarismo</v>
      </c>
    </row>
    <row r="673" spans="1:15" x14ac:dyDescent="0.3">
      <c r="A673">
        <v>6775888955</v>
      </c>
      <c r="B673" t="s">
        <v>43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1440</v>
      </c>
      <c r="M673">
        <v>1841</v>
      </c>
      <c r="N673" t="str">
        <f t="shared" si="20"/>
        <v>Baja Actividad</v>
      </c>
      <c r="O673" t="str">
        <f t="shared" si="21"/>
        <v>Alto Sedentarismo</v>
      </c>
    </row>
    <row r="674" spans="1:15" x14ac:dyDescent="0.3">
      <c r="A674">
        <v>6775888955</v>
      </c>
      <c r="B674" t="s">
        <v>45</v>
      </c>
      <c r="C674">
        <v>2503</v>
      </c>
      <c r="D674" s="2">
        <v>178999996185303</v>
      </c>
      <c r="E674" t="s">
        <v>113</v>
      </c>
      <c r="F674" t="s">
        <v>113</v>
      </c>
      <c r="G674" s="2">
        <v>148000001907349</v>
      </c>
      <c r="H674">
        <v>0</v>
      </c>
      <c r="I674">
        <v>3</v>
      </c>
      <c r="J674">
        <v>9</v>
      </c>
      <c r="K674">
        <v>84</v>
      </c>
      <c r="L674">
        <v>1344</v>
      </c>
      <c r="M674">
        <v>2280</v>
      </c>
      <c r="N674" t="str">
        <f t="shared" si="20"/>
        <v>Baja Actividad</v>
      </c>
      <c r="O674" t="str">
        <f t="shared" si="21"/>
        <v>Alto Sedentarismo</v>
      </c>
    </row>
    <row r="675" spans="1:15" x14ac:dyDescent="0.3">
      <c r="A675">
        <v>6775888955</v>
      </c>
      <c r="B675" s="1">
        <v>42374</v>
      </c>
      <c r="C675">
        <v>2487</v>
      </c>
      <c r="D675" s="2">
        <v>177999997138977</v>
      </c>
      <c r="E675" t="s">
        <v>29</v>
      </c>
      <c r="F675" t="s">
        <v>53</v>
      </c>
      <c r="G675" t="s">
        <v>91</v>
      </c>
      <c r="H675">
        <v>0</v>
      </c>
      <c r="I675">
        <v>9</v>
      </c>
      <c r="J675">
        <v>34</v>
      </c>
      <c r="K675">
        <v>50</v>
      </c>
      <c r="L675">
        <v>1347</v>
      </c>
      <c r="M675">
        <v>2319</v>
      </c>
      <c r="N675" t="str">
        <f t="shared" si="20"/>
        <v>Baja Actividad</v>
      </c>
      <c r="O675" t="str">
        <f t="shared" si="21"/>
        <v>Alto Sedentarismo</v>
      </c>
    </row>
    <row r="676" spans="1:15" x14ac:dyDescent="0.3">
      <c r="A676">
        <v>6775888955</v>
      </c>
      <c r="B676" s="1">
        <v>42405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1440</v>
      </c>
      <c r="M676">
        <v>1841</v>
      </c>
      <c r="N676" t="str">
        <f t="shared" si="20"/>
        <v>Baja Actividad</v>
      </c>
      <c r="O676" t="str">
        <f t="shared" si="21"/>
        <v>Alto Sedentarismo</v>
      </c>
    </row>
    <row r="677" spans="1:15" x14ac:dyDescent="0.3">
      <c r="A677">
        <v>6775888955</v>
      </c>
      <c r="B677" s="1">
        <v>42434</v>
      </c>
      <c r="C677">
        <v>9</v>
      </c>
      <c r="D677" t="s">
        <v>50</v>
      </c>
      <c r="E677">
        <v>0</v>
      </c>
      <c r="F677">
        <v>0</v>
      </c>
      <c r="G677" t="s">
        <v>50</v>
      </c>
      <c r="H677">
        <v>0</v>
      </c>
      <c r="I677">
        <v>0</v>
      </c>
      <c r="J677">
        <v>0</v>
      </c>
      <c r="K677">
        <v>1</v>
      </c>
      <c r="L677">
        <v>1439</v>
      </c>
      <c r="M677">
        <v>1843</v>
      </c>
      <c r="N677" t="str">
        <f t="shared" si="20"/>
        <v>Baja Actividad</v>
      </c>
      <c r="O677" t="str">
        <f t="shared" si="21"/>
        <v>Alto Sedentarismo</v>
      </c>
    </row>
    <row r="678" spans="1:15" x14ac:dyDescent="0.3">
      <c r="A678">
        <v>6775888955</v>
      </c>
      <c r="B678" s="1">
        <v>42465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1440</v>
      </c>
      <c r="M678">
        <v>1841</v>
      </c>
      <c r="N678" t="str">
        <f t="shared" si="20"/>
        <v>Baja Actividad</v>
      </c>
      <c r="O678" t="str">
        <f t="shared" si="21"/>
        <v>Alto Sedentarismo</v>
      </c>
    </row>
    <row r="679" spans="1:15" x14ac:dyDescent="0.3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1440</v>
      </c>
      <c r="M679">
        <v>1841</v>
      </c>
      <c r="N679" t="str">
        <f t="shared" si="20"/>
        <v>Baja Actividad</v>
      </c>
      <c r="O679" t="str">
        <f t="shared" si="21"/>
        <v>Alto Sedentarismo</v>
      </c>
    </row>
    <row r="680" spans="1:15" x14ac:dyDescent="0.3">
      <c r="A680">
        <v>6775888955</v>
      </c>
      <c r="B680" s="1">
        <v>42526</v>
      </c>
      <c r="C680">
        <v>4697</v>
      </c>
      <c r="D680" s="2">
        <v>336999988555908</v>
      </c>
      <c r="E680" t="s">
        <v>89</v>
      </c>
      <c r="F680" t="s">
        <v>109</v>
      </c>
      <c r="G680" s="2">
        <v>192999994754791</v>
      </c>
      <c r="H680">
        <v>0</v>
      </c>
      <c r="I680">
        <v>12</v>
      </c>
      <c r="J680">
        <v>35</v>
      </c>
      <c r="K680">
        <v>75</v>
      </c>
      <c r="L680">
        <v>1318</v>
      </c>
      <c r="M680">
        <v>2496</v>
      </c>
      <c r="N680" t="str">
        <f t="shared" si="20"/>
        <v>Baja Actividad</v>
      </c>
      <c r="O680" t="str">
        <f t="shared" si="21"/>
        <v>Alto Sedentarismo</v>
      </c>
    </row>
    <row r="681" spans="1:15" x14ac:dyDescent="0.3">
      <c r="A681">
        <v>6775888955</v>
      </c>
      <c r="B681" s="1">
        <v>42556</v>
      </c>
      <c r="C681">
        <v>1967</v>
      </c>
      <c r="D681" s="2">
        <v>14099999666214</v>
      </c>
      <c r="E681" t="s">
        <v>86</v>
      </c>
      <c r="F681" t="s">
        <v>72</v>
      </c>
      <c r="G681" s="2">
        <v>104999995231628</v>
      </c>
      <c r="H681">
        <v>0</v>
      </c>
      <c r="I681">
        <v>2</v>
      </c>
      <c r="J681">
        <v>5</v>
      </c>
      <c r="K681">
        <v>49</v>
      </c>
      <c r="L681">
        <v>551</v>
      </c>
      <c r="M681">
        <v>1032</v>
      </c>
      <c r="N681" t="str">
        <f t="shared" si="20"/>
        <v>Baja Actividad</v>
      </c>
      <c r="O681" t="str">
        <f t="shared" si="21"/>
        <v>Bajo Sedentarismo</v>
      </c>
    </row>
    <row r="682" spans="1:15" x14ac:dyDescent="0.3">
      <c r="A682">
        <v>6962181067</v>
      </c>
      <c r="B682" s="1">
        <v>42708</v>
      </c>
      <c r="C682">
        <v>10199</v>
      </c>
      <c r="D682" s="2">
        <v>673999977111816</v>
      </c>
      <c r="E682" s="2">
        <v>340000009536743</v>
      </c>
      <c r="F682" t="s">
        <v>95</v>
      </c>
      <c r="G682" s="2">
        <v>250999999046326</v>
      </c>
      <c r="H682">
        <v>0</v>
      </c>
      <c r="I682">
        <v>50</v>
      </c>
      <c r="J682">
        <v>14</v>
      </c>
      <c r="K682">
        <v>189</v>
      </c>
      <c r="L682">
        <v>796</v>
      </c>
      <c r="M682">
        <v>1994</v>
      </c>
      <c r="N682" t="str">
        <f t="shared" si="20"/>
        <v>Alta Actividad</v>
      </c>
      <c r="O682" t="str">
        <f t="shared" si="21"/>
        <v>Alto Sedentarismo</v>
      </c>
    </row>
    <row r="683" spans="1:15" x14ac:dyDescent="0.3">
      <c r="A683">
        <v>6962181067</v>
      </c>
      <c r="B683" t="s">
        <v>15</v>
      </c>
      <c r="C683">
        <v>5652</v>
      </c>
      <c r="D683" s="2">
        <v>374000000953674</v>
      </c>
      <c r="E683" t="s">
        <v>38</v>
      </c>
      <c r="F683" s="2">
        <v>121000003814697</v>
      </c>
      <c r="G683" s="2">
        <v>196000003814697</v>
      </c>
      <c r="H683">
        <v>0</v>
      </c>
      <c r="I683">
        <v>8</v>
      </c>
      <c r="J683">
        <v>24</v>
      </c>
      <c r="K683">
        <v>142</v>
      </c>
      <c r="L683">
        <v>548</v>
      </c>
      <c r="M683">
        <v>1718</v>
      </c>
      <c r="N683" t="str">
        <f t="shared" si="20"/>
        <v>Baja Actividad</v>
      </c>
      <c r="O683" t="str">
        <f t="shared" si="21"/>
        <v>Bajo Sedentarismo</v>
      </c>
    </row>
    <row r="684" spans="1:15" x14ac:dyDescent="0.3">
      <c r="A684">
        <v>6962181067</v>
      </c>
      <c r="B684" t="s">
        <v>17</v>
      </c>
      <c r="C684">
        <v>1551</v>
      </c>
      <c r="D684" s="2">
        <v>102999997138977</v>
      </c>
      <c r="E684">
        <v>0</v>
      </c>
      <c r="F684">
        <v>0</v>
      </c>
      <c r="G684" s="2">
        <v>102999997138977</v>
      </c>
      <c r="H684">
        <v>0</v>
      </c>
      <c r="I684">
        <v>0</v>
      </c>
      <c r="J684">
        <v>0</v>
      </c>
      <c r="K684">
        <v>86</v>
      </c>
      <c r="L684">
        <v>862</v>
      </c>
      <c r="M684">
        <v>1466</v>
      </c>
      <c r="N684" t="str">
        <f t="shared" si="20"/>
        <v>Baja Actividad</v>
      </c>
      <c r="O684" t="str">
        <f t="shared" si="21"/>
        <v>Alto Sedentarismo</v>
      </c>
    </row>
    <row r="685" spans="1:15" x14ac:dyDescent="0.3">
      <c r="A685">
        <v>6962181067</v>
      </c>
      <c r="B685" t="s">
        <v>19</v>
      </c>
      <c r="C685">
        <v>5563</v>
      </c>
      <c r="D685" s="2">
        <v>36800000667572</v>
      </c>
      <c r="E685">
        <v>0</v>
      </c>
      <c r="F685">
        <v>0</v>
      </c>
      <c r="G685" s="2">
        <v>36800000667572</v>
      </c>
      <c r="H685">
        <v>0</v>
      </c>
      <c r="I685">
        <v>0</v>
      </c>
      <c r="J685">
        <v>0</v>
      </c>
      <c r="K685">
        <v>217</v>
      </c>
      <c r="L685">
        <v>837</v>
      </c>
      <c r="M685">
        <v>1756</v>
      </c>
      <c r="N685" t="str">
        <f t="shared" si="20"/>
        <v>Baja Actividad</v>
      </c>
      <c r="O685" t="str">
        <f t="shared" si="21"/>
        <v>Alto Sedentarismo</v>
      </c>
    </row>
    <row r="686" spans="1:15" x14ac:dyDescent="0.3">
      <c r="A686">
        <v>6962181067</v>
      </c>
      <c r="B686" t="s">
        <v>20</v>
      </c>
      <c r="C686">
        <v>13217</v>
      </c>
      <c r="D686" s="2">
        <v>873999977111816</v>
      </c>
      <c r="E686" s="2">
        <v>366000008583069</v>
      </c>
      <c r="F686" t="s">
        <v>112</v>
      </c>
      <c r="G686" s="2">
        <v>488000011444092</v>
      </c>
      <c r="H686">
        <v>0</v>
      </c>
      <c r="I686">
        <v>50</v>
      </c>
      <c r="J686">
        <v>3</v>
      </c>
      <c r="K686">
        <v>280</v>
      </c>
      <c r="L686">
        <v>741</v>
      </c>
      <c r="M686">
        <v>2173</v>
      </c>
      <c r="N686" t="str">
        <f t="shared" si="20"/>
        <v>Alta Actividad</v>
      </c>
      <c r="O686" t="str">
        <f t="shared" si="21"/>
        <v>Alto Sedentarismo</v>
      </c>
    </row>
    <row r="687" spans="1:15" x14ac:dyDescent="0.3">
      <c r="A687">
        <v>6962181067</v>
      </c>
      <c r="B687" t="s">
        <v>22</v>
      </c>
      <c r="C687">
        <v>10145</v>
      </c>
      <c r="D687" s="2">
        <v>671000003814697</v>
      </c>
      <c r="E687" t="s">
        <v>122</v>
      </c>
      <c r="F687" t="s">
        <v>91</v>
      </c>
      <c r="G687" s="2">
        <v>569000005722046</v>
      </c>
      <c r="H687">
        <v>0</v>
      </c>
      <c r="I687">
        <v>5</v>
      </c>
      <c r="J687">
        <v>13</v>
      </c>
      <c r="K687">
        <v>295</v>
      </c>
      <c r="L687">
        <v>634</v>
      </c>
      <c r="M687">
        <v>2027</v>
      </c>
      <c r="N687" t="str">
        <f t="shared" si="20"/>
        <v>Alta Actividad</v>
      </c>
      <c r="O687" t="str">
        <f t="shared" si="21"/>
        <v>Bajo Sedentarismo</v>
      </c>
    </row>
    <row r="688" spans="1:15" x14ac:dyDescent="0.3">
      <c r="A688">
        <v>6962181067</v>
      </c>
      <c r="B688" t="s">
        <v>24</v>
      </c>
      <c r="C688">
        <v>11404</v>
      </c>
      <c r="D688" s="2">
        <v>753999996185303</v>
      </c>
      <c r="E688" t="s">
        <v>95</v>
      </c>
      <c r="F688" s="2">
        <v>239000010490417</v>
      </c>
      <c r="G688" s="2">
        <v>432000017166138</v>
      </c>
      <c r="H688">
        <v>0</v>
      </c>
      <c r="I688">
        <v>13</v>
      </c>
      <c r="J688">
        <v>42</v>
      </c>
      <c r="K688">
        <v>238</v>
      </c>
      <c r="L688">
        <v>689</v>
      </c>
      <c r="M688">
        <v>2039</v>
      </c>
      <c r="N688" t="str">
        <f t="shared" si="20"/>
        <v>Alta Actividad</v>
      </c>
      <c r="O688" t="str">
        <f t="shared" si="21"/>
        <v>Bajo Sedentarismo</v>
      </c>
    </row>
    <row r="689" spans="1:15" x14ac:dyDescent="0.3">
      <c r="A689">
        <v>6962181067</v>
      </c>
      <c r="B689" t="s">
        <v>27</v>
      </c>
      <c r="C689">
        <v>10742</v>
      </c>
      <c r="D689" s="2">
        <v>709999990463257</v>
      </c>
      <c r="E689" s="2">
        <v>209999990463257</v>
      </c>
      <c r="F689" s="2">
        <v>213000011444092</v>
      </c>
      <c r="G689" s="2">
        <v>286999988555908</v>
      </c>
      <c r="H689">
        <v>0</v>
      </c>
      <c r="I689">
        <v>35</v>
      </c>
      <c r="J689">
        <v>41</v>
      </c>
      <c r="K689">
        <v>195</v>
      </c>
      <c r="L689">
        <v>659</v>
      </c>
      <c r="M689">
        <v>2046</v>
      </c>
      <c r="N689" t="str">
        <f t="shared" si="20"/>
        <v>Alta Actividad</v>
      </c>
      <c r="O689" t="str">
        <f t="shared" si="21"/>
        <v>Bajo Sedentarismo</v>
      </c>
    </row>
    <row r="690" spans="1:15" x14ac:dyDescent="0.3">
      <c r="A690">
        <v>6962181067</v>
      </c>
      <c r="B690" t="s">
        <v>28</v>
      </c>
      <c r="C690">
        <v>13928</v>
      </c>
      <c r="D690" s="2">
        <v>955000019073486</v>
      </c>
      <c r="E690" s="2">
        <v>428000020980835</v>
      </c>
      <c r="F690" t="s">
        <v>112</v>
      </c>
      <c r="G690" s="2">
        <v>509000015258789</v>
      </c>
      <c r="H690">
        <v>0</v>
      </c>
      <c r="I690">
        <v>48</v>
      </c>
      <c r="J690">
        <v>4</v>
      </c>
      <c r="K690">
        <v>297</v>
      </c>
      <c r="L690">
        <v>639</v>
      </c>
      <c r="M690">
        <v>2174</v>
      </c>
      <c r="N690" t="str">
        <f t="shared" si="20"/>
        <v>Alta Actividad</v>
      </c>
      <c r="O690" t="str">
        <f t="shared" si="21"/>
        <v>Bajo Sedentarismo</v>
      </c>
    </row>
    <row r="691" spans="1:15" x14ac:dyDescent="0.3">
      <c r="A691">
        <v>6962181067</v>
      </c>
      <c r="B691" t="s">
        <v>30</v>
      </c>
      <c r="C691">
        <v>11835</v>
      </c>
      <c r="D691" s="2">
        <v>971000003814697</v>
      </c>
      <c r="E691" s="2">
        <v>399000000953674</v>
      </c>
      <c r="F691" s="2">
        <v>209999990463257</v>
      </c>
      <c r="G691" s="2">
        <v>350999999046326</v>
      </c>
      <c r="H691" t="s">
        <v>94</v>
      </c>
      <c r="I691">
        <v>53</v>
      </c>
      <c r="J691">
        <v>27</v>
      </c>
      <c r="K691">
        <v>214</v>
      </c>
      <c r="L691">
        <v>708</v>
      </c>
      <c r="M691">
        <v>2179</v>
      </c>
      <c r="N691" t="str">
        <f t="shared" si="20"/>
        <v>Alta Actividad</v>
      </c>
      <c r="O691" t="str">
        <f t="shared" si="21"/>
        <v>Alto Sedentarismo</v>
      </c>
    </row>
    <row r="692" spans="1:15" x14ac:dyDescent="0.3">
      <c r="A692">
        <v>6962181067</v>
      </c>
      <c r="B692" t="s">
        <v>32</v>
      </c>
      <c r="C692">
        <v>10725</v>
      </c>
      <c r="D692" s="2">
        <v>709000015258789</v>
      </c>
      <c r="E692" s="2">
        <v>176999998092651</v>
      </c>
      <c r="F692" s="2">
        <v>154999995231628</v>
      </c>
      <c r="G692" s="2">
        <v>376999998092651</v>
      </c>
      <c r="H692">
        <v>0</v>
      </c>
      <c r="I692">
        <v>30</v>
      </c>
      <c r="J692">
        <v>33</v>
      </c>
      <c r="K692">
        <v>240</v>
      </c>
      <c r="L692">
        <v>659</v>
      </c>
      <c r="M692">
        <v>2086</v>
      </c>
      <c r="N692" t="str">
        <f t="shared" si="20"/>
        <v>Alta Actividad</v>
      </c>
      <c r="O692" t="str">
        <f t="shared" si="21"/>
        <v>Bajo Sedentarismo</v>
      </c>
    </row>
    <row r="693" spans="1:15" x14ac:dyDescent="0.3">
      <c r="A693">
        <v>6962181067</v>
      </c>
      <c r="B693" t="s">
        <v>33</v>
      </c>
      <c r="C693">
        <v>20031</v>
      </c>
      <c r="D693" s="2">
        <v>132399997711182</v>
      </c>
      <c r="E693" s="2">
        <v>419999980926514</v>
      </c>
      <c r="F693">
        <v>2</v>
      </c>
      <c r="G693" s="2">
        <v>703999996185303</v>
      </c>
      <c r="H693">
        <v>0</v>
      </c>
      <c r="I693">
        <v>58</v>
      </c>
      <c r="J693">
        <v>41</v>
      </c>
      <c r="K693">
        <v>347</v>
      </c>
      <c r="L693">
        <v>484</v>
      </c>
      <c r="M693">
        <v>2571</v>
      </c>
      <c r="N693" t="str">
        <f t="shared" si="20"/>
        <v>Alta Actividad</v>
      </c>
      <c r="O693" t="str">
        <f t="shared" si="21"/>
        <v>Bajo Sedentarismo</v>
      </c>
    </row>
    <row r="694" spans="1:15" x14ac:dyDescent="0.3">
      <c r="A694">
        <v>6962181067</v>
      </c>
      <c r="B694" t="s">
        <v>35</v>
      </c>
      <c r="C694">
        <v>5029</v>
      </c>
      <c r="D694" s="2">
        <v>33199999332428</v>
      </c>
      <c r="E694">
        <v>0</v>
      </c>
      <c r="F694">
        <v>0</v>
      </c>
      <c r="G694" s="2">
        <v>33199999332428</v>
      </c>
      <c r="H694">
        <v>0</v>
      </c>
      <c r="I694">
        <v>0</v>
      </c>
      <c r="J694">
        <v>0</v>
      </c>
      <c r="K694">
        <v>199</v>
      </c>
      <c r="L694">
        <v>720</v>
      </c>
      <c r="M694">
        <v>1705</v>
      </c>
      <c r="N694" t="str">
        <f t="shared" si="20"/>
        <v>Baja Actividad</v>
      </c>
      <c r="O694" t="str">
        <f t="shared" si="21"/>
        <v>Alto Sedentarismo</v>
      </c>
    </row>
    <row r="695" spans="1:15" x14ac:dyDescent="0.3">
      <c r="A695">
        <v>6962181067</v>
      </c>
      <c r="B695" t="s">
        <v>37</v>
      </c>
      <c r="C695">
        <v>13239</v>
      </c>
      <c r="D695" s="2">
        <v>927000045776367</v>
      </c>
      <c r="E695" s="2">
        <v>301999998092651</v>
      </c>
      <c r="F695" s="2">
        <v>167999994754791</v>
      </c>
      <c r="G695" s="2">
        <v>446000003814697</v>
      </c>
      <c r="H695" t="s">
        <v>93</v>
      </c>
      <c r="I695">
        <v>35</v>
      </c>
      <c r="J695">
        <v>31</v>
      </c>
      <c r="K695">
        <v>282</v>
      </c>
      <c r="L695">
        <v>637</v>
      </c>
      <c r="M695">
        <v>2194</v>
      </c>
      <c r="N695" t="str">
        <f t="shared" si="20"/>
        <v>Alta Actividad</v>
      </c>
      <c r="O695" t="str">
        <f t="shared" si="21"/>
        <v>Bajo Sedentarismo</v>
      </c>
    </row>
    <row r="696" spans="1:15" x14ac:dyDescent="0.3">
      <c r="A696">
        <v>6962181067</v>
      </c>
      <c r="B696" t="s">
        <v>39</v>
      </c>
      <c r="C696">
        <v>10433</v>
      </c>
      <c r="D696" s="2">
        <v>690000009536743</v>
      </c>
      <c r="E696" s="2">
        <v>257999992370605</v>
      </c>
      <c r="F696" t="s">
        <v>102</v>
      </c>
      <c r="G696" s="2">
        <v>390000009536743</v>
      </c>
      <c r="H696">
        <v>0</v>
      </c>
      <c r="I696">
        <v>36</v>
      </c>
      <c r="J696">
        <v>7</v>
      </c>
      <c r="K696">
        <v>254</v>
      </c>
      <c r="L696">
        <v>680</v>
      </c>
      <c r="M696">
        <v>2012</v>
      </c>
      <c r="N696" t="str">
        <f t="shared" si="20"/>
        <v>Alta Actividad</v>
      </c>
      <c r="O696" t="str">
        <f t="shared" si="21"/>
        <v>Bajo Sedentarismo</v>
      </c>
    </row>
    <row r="697" spans="1:15" x14ac:dyDescent="0.3">
      <c r="A697">
        <v>6962181067</v>
      </c>
      <c r="B697" t="s">
        <v>41</v>
      </c>
      <c r="C697">
        <v>10320</v>
      </c>
      <c r="D697" s="2">
        <v>682000017166138</v>
      </c>
      <c r="E697" t="s">
        <v>14</v>
      </c>
      <c r="F697" s="2">
        <v>201999998092651</v>
      </c>
      <c r="G697" t="s">
        <v>68</v>
      </c>
      <c r="H697">
        <v>0</v>
      </c>
      <c r="I697">
        <v>7</v>
      </c>
      <c r="J697">
        <v>38</v>
      </c>
      <c r="K697">
        <v>279</v>
      </c>
      <c r="L697">
        <v>697</v>
      </c>
      <c r="M697">
        <v>2034</v>
      </c>
      <c r="N697" t="str">
        <f t="shared" si="20"/>
        <v>Alta Actividad</v>
      </c>
      <c r="O697" t="str">
        <f t="shared" si="21"/>
        <v>Bajo Sedentarismo</v>
      </c>
    </row>
    <row r="698" spans="1:15" x14ac:dyDescent="0.3">
      <c r="A698">
        <v>6962181067</v>
      </c>
      <c r="B698" t="s">
        <v>42</v>
      </c>
      <c r="C698">
        <v>12627</v>
      </c>
      <c r="D698" s="2">
        <v>835000038146973</v>
      </c>
      <c r="E698" s="2">
        <v>250999999046326</v>
      </c>
      <c r="F698" t="s">
        <v>72</v>
      </c>
      <c r="G698" s="2">
        <v>559000015258789</v>
      </c>
      <c r="H698">
        <v>0</v>
      </c>
      <c r="I698">
        <v>38</v>
      </c>
      <c r="J698">
        <v>8</v>
      </c>
      <c r="K698">
        <v>288</v>
      </c>
      <c r="L698">
        <v>621</v>
      </c>
      <c r="M698">
        <v>2182</v>
      </c>
      <c r="N698" t="str">
        <f t="shared" si="20"/>
        <v>Alta Actividad</v>
      </c>
      <c r="O698" t="str">
        <f t="shared" si="21"/>
        <v>Bajo Sedentarismo</v>
      </c>
    </row>
    <row r="699" spans="1:15" x14ac:dyDescent="0.3">
      <c r="A699">
        <v>6962181067</v>
      </c>
      <c r="B699" t="s">
        <v>43</v>
      </c>
      <c r="C699">
        <v>10762</v>
      </c>
      <c r="D699" s="2">
        <v>71100001335144</v>
      </c>
      <c r="E699" t="s">
        <v>79</v>
      </c>
      <c r="F699" t="s">
        <v>29</v>
      </c>
      <c r="G699" s="2">
        <v>580999994277954</v>
      </c>
      <c r="H699">
        <v>0</v>
      </c>
      <c r="I699">
        <v>12</v>
      </c>
      <c r="J699">
        <v>15</v>
      </c>
      <c r="K699">
        <v>369</v>
      </c>
      <c r="L699">
        <v>645</v>
      </c>
      <c r="M699">
        <v>2254</v>
      </c>
      <c r="N699" t="str">
        <f t="shared" si="20"/>
        <v>Alta Actividad</v>
      </c>
      <c r="O699" t="str">
        <f t="shared" si="21"/>
        <v>Bajo Sedentarismo</v>
      </c>
    </row>
    <row r="700" spans="1:15" x14ac:dyDescent="0.3">
      <c r="A700">
        <v>6962181067</v>
      </c>
      <c r="B700" t="s">
        <v>45</v>
      </c>
      <c r="C700">
        <v>10081</v>
      </c>
      <c r="D700" s="2">
        <v>665999984741211</v>
      </c>
      <c r="E700" s="2">
        <v>224000000953674</v>
      </c>
      <c r="F700" t="s">
        <v>143</v>
      </c>
      <c r="G700" s="2">
        <v>367000007629395</v>
      </c>
      <c r="H700">
        <v>0</v>
      </c>
      <c r="I700">
        <v>32</v>
      </c>
      <c r="J700">
        <v>16</v>
      </c>
      <c r="K700">
        <v>237</v>
      </c>
      <c r="L700">
        <v>731</v>
      </c>
      <c r="M700">
        <v>2002</v>
      </c>
      <c r="N700" t="str">
        <f t="shared" si="20"/>
        <v>Alta Actividad</v>
      </c>
      <c r="O700" t="str">
        <f t="shared" si="21"/>
        <v>Alto Sedentarismo</v>
      </c>
    </row>
    <row r="701" spans="1:15" x14ac:dyDescent="0.3">
      <c r="A701">
        <v>6962181067</v>
      </c>
      <c r="B701" s="1">
        <v>42374</v>
      </c>
      <c r="C701">
        <v>5454</v>
      </c>
      <c r="D701" s="2">
        <v>360999989509583</v>
      </c>
      <c r="E701">
        <v>0</v>
      </c>
      <c r="F701">
        <v>0</v>
      </c>
      <c r="G701" s="2">
        <v>360999989509583</v>
      </c>
      <c r="H701">
        <v>0</v>
      </c>
      <c r="I701">
        <v>0</v>
      </c>
      <c r="J701">
        <v>0</v>
      </c>
      <c r="K701">
        <v>215</v>
      </c>
      <c r="L701">
        <v>722</v>
      </c>
      <c r="M701">
        <v>1740</v>
      </c>
      <c r="N701" t="str">
        <f t="shared" si="20"/>
        <v>Baja Actividad</v>
      </c>
      <c r="O701" t="str">
        <f t="shared" si="21"/>
        <v>Alto Sedentarismo</v>
      </c>
    </row>
    <row r="702" spans="1:15" x14ac:dyDescent="0.3">
      <c r="A702">
        <v>6962181067</v>
      </c>
      <c r="B702" s="1">
        <v>42405</v>
      </c>
      <c r="C702">
        <v>12912</v>
      </c>
      <c r="D702" s="2">
        <v>853999996185303</v>
      </c>
      <c r="E702" s="2">
        <v>120000004768372</v>
      </c>
      <c r="F702">
        <v>2</v>
      </c>
      <c r="G702" s="2">
        <v>534000015258789</v>
      </c>
      <c r="H702">
        <v>0</v>
      </c>
      <c r="I702">
        <v>18</v>
      </c>
      <c r="J702">
        <v>39</v>
      </c>
      <c r="K702">
        <v>313</v>
      </c>
      <c r="L702">
        <v>655</v>
      </c>
      <c r="M702">
        <v>2162</v>
      </c>
      <c r="N702" t="str">
        <f t="shared" si="20"/>
        <v>Alta Actividad</v>
      </c>
      <c r="O702" t="str">
        <f t="shared" si="21"/>
        <v>Bajo Sedentarismo</v>
      </c>
    </row>
    <row r="703" spans="1:15" x14ac:dyDescent="0.3">
      <c r="A703">
        <v>6962181067</v>
      </c>
      <c r="B703" s="1">
        <v>42434</v>
      </c>
      <c r="C703">
        <v>12109</v>
      </c>
      <c r="D703" s="2">
        <v>811999988555908</v>
      </c>
      <c r="E703" s="2">
        <v>174000000953674</v>
      </c>
      <c r="F703" s="2">
        <v>203999996185303</v>
      </c>
      <c r="G703" s="2">
        <v>432999992370605</v>
      </c>
      <c r="H703">
        <v>0</v>
      </c>
      <c r="I703">
        <v>21</v>
      </c>
      <c r="J703">
        <v>36</v>
      </c>
      <c r="K703">
        <v>267</v>
      </c>
      <c r="L703">
        <v>654</v>
      </c>
      <c r="M703">
        <v>2072</v>
      </c>
      <c r="N703" t="str">
        <f t="shared" si="20"/>
        <v>Alta Actividad</v>
      </c>
      <c r="O703" t="str">
        <f t="shared" si="21"/>
        <v>Bajo Sedentarismo</v>
      </c>
    </row>
    <row r="704" spans="1:15" x14ac:dyDescent="0.3">
      <c r="A704">
        <v>6962181067</v>
      </c>
      <c r="B704" s="1">
        <v>42465</v>
      </c>
      <c r="C704">
        <v>10147</v>
      </c>
      <c r="D704" s="2">
        <v>671000003814697</v>
      </c>
      <c r="E704" t="s">
        <v>89</v>
      </c>
      <c r="F704" s="2">
        <v>167999994754791</v>
      </c>
      <c r="G704" s="2">
        <v>455000019073486</v>
      </c>
      <c r="H704">
        <v>0</v>
      </c>
      <c r="I704">
        <v>15</v>
      </c>
      <c r="J704">
        <v>36</v>
      </c>
      <c r="K704">
        <v>284</v>
      </c>
      <c r="L704">
        <v>683</v>
      </c>
      <c r="M704">
        <v>2086</v>
      </c>
      <c r="N704" t="str">
        <f t="shared" si="20"/>
        <v>Alta Actividad</v>
      </c>
      <c r="O704" t="str">
        <f t="shared" si="21"/>
        <v>Bajo Sedentarismo</v>
      </c>
    </row>
    <row r="705" spans="1:15" x14ac:dyDescent="0.3">
      <c r="A705">
        <v>6962181067</v>
      </c>
      <c r="B705" s="1">
        <v>42495</v>
      </c>
      <c r="C705">
        <v>10524</v>
      </c>
      <c r="D705" s="2">
        <v>696000003814697</v>
      </c>
      <c r="E705" t="s">
        <v>73</v>
      </c>
      <c r="F705" s="2">
        <v>11599999666214</v>
      </c>
      <c r="G705" s="2">
        <v>480999994277954</v>
      </c>
      <c r="H705">
        <v>0</v>
      </c>
      <c r="I705">
        <v>14</v>
      </c>
      <c r="J705">
        <v>22</v>
      </c>
      <c r="K705">
        <v>305</v>
      </c>
      <c r="L705">
        <v>591</v>
      </c>
      <c r="M705">
        <v>2066</v>
      </c>
      <c r="N705" t="str">
        <f t="shared" si="20"/>
        <v>Alta Actividad</v>
      </c>
      <c r="O705" t="str">
        <f t="shared" si="21"/>
        <v>Bajo Sedentarismo</v>
      </c>
    </row>
    <row r="706" spans="1:15" x14ac:dyDescent="0.3">
      <c r="A706">
        <v>6962181067</v>
      </c>
      <c r="B706" s="1">
        <v>42526</v>
      </c>
      <c r="C706">
        <v>5908</v>
      </c>
      <c r="D706" s="2">
        <v>391000008583069</v>
      </c>
      <c r="E706">
        <v>0</v>
      </c>
      <c r="F706">
        <v>0</v>
      </c>
      <c r="G706" s="2">
        <v>391000008583069</v>
      </c>
      <c r="H706">
        <v>0</v>
      </c>
      <c r="I706">
        <v>0</v>
      </c>
      <c r="J706">
        <v>0</v>
      </c>
      <c r="K706">
        <v>299</v>
      </c>
      <c r="L706">
        <v>717</v>
      </c>
      <c r="M706">
        <v>1850</v>
      </c>
      <c r="N706" t="str">
        <f t="shared" si="20"/>
        <v>Baja Actividad</v>
      </c>
      <c r="O706" t="str">
        <f t="shared" si="21"/>
        <v>Alto Sedentarismo</v>
      </c>
    </row>
    <row r="707" spans="1:15" x14ac:dyDescent="0.3">
      <c r="A707">
        <v>6962181067</v>
      </c>
      <c r="B707" s="1">
        <v>42556</v>
      </c>
      <c r="C707">
        <v>6815</v>
      </c>
      <c r="D707" t="s">
        <v>106</v>
      </c>
      <c r="E707">
        <v>0</v>
      </c>
      <c r="F707">
        <v>0</v>
      </c>
      <c r="G707" t="s">
        <v>106</v>
      </c>
      <c r="H707">
        <v>0</v>
      </c>
      <c r="I707">
        <v>0</v>
      </c>
      <c r="J707">
        <v>0</v>
      </c>
      <c r="K707">
        <v>328</v>
      </c>
      <c r="L707">
        <v>745</v>
      </c>
      <c r="M707">
        <v>1947</v>
      </c>
      <c r="N707" t="str">
        <f t="shared" ref="N707:N770" si="22">IF(C707&gt;=10000, "Alta Actividad", "Baja Actividad")</f>
        <v>Baja Actividad</v>
      </c>
      <c r="O707" t="str">
        <f t="shared" ref="O707:O770" si="23">IF(L707&gt;=700, "Alto Sedentarismo",  "Bajo Sedentarismo")</f>
        <v>Alto Sedentarismo</v>
      </c>
    </row>
    <row r="708" spans="1:15" x14ac:dyDescent="0.3">
      <c r="A708">
        <v>6962181067</v>
      </c>
      <c r="B708" s="1">
        <v>42587</v>
      </c>
      <c r="C708">
        <v>4188</v>
      </c>
      <c r="D708" s="2">
        <v>276999998092651</v>
      </c>
      <c r="E708">
        <v>0</v>
      </c>
      <c r="F708" t="s">
        <v>77</v>
      </c>
      <c r="G708" t="s">
        <v>64</v>
      </c>
      <c r="H708">
        <v>0</v>
      </c>
      <c r="I708">
        <v>0</v>
      </c>
      <c r="J708">
        <v>14</v>
      </c>
      <c r="K708">
        <v>151</v>
      </c>
      <c r="L708">
        <v>709</v>
      </c>
      <c r="M708">
        <v>1659</v>
      </c>
      <c r="N708" t="str">
        <f t="shared" si="22"/>
        <v>Baja Actividad</v>
      </c>
      <c r="O708" t="str">
        <f t="shared" si="23"/>
        <v>Alto Sedentarismo</v>
      </c>
    </row>
    <row r="709" spans="1:15" x14ac:dyDescent="0.3">
      <c r="A709">
        <v>6962181067</v>
      </c>
      <c r="B709" s="1">
        <v>42618</v>
      </c>
      <c r="C709">
        <v>12342</v>
      </c>
      <c r="D709" s="2">
        <v>872000026702881</v>
      </c>
      <c r="E709" s="2">
        <v>390000009536743</v>
      </c>
      <c r="F709" s="2">
        <v>117999994754791</v>
      </c>
      <c r="G709" s="2">
        <v>365000009536743</v>
      </c>
      <c r="H709">
        <v>0</v>
      </c>
      <c r="I709">
        <v>43</v>
      </c>
      <c r="J709">
        <v>21</v>
      </c>
      <c r="K709">
        <v>231</v>
      </c>
      <c r="L709">
        <v>607</v>
      </c>
      <c r="M709">
        <v>2105</v>
      </c>
      <c r="N709" t="str">
        <f t="shared" si="22"/>
        <v>Alta Actividad</v>
      </c>
      <c r="O709" t="str">
        <f t="shared" si="23"/>
        <v>Bajo Sedentarismo</v>
      </c>
    </row>
    <row r="710" spans="1:15" x14ac:dyDescent="0.3">
      <c r="A710">
        <v>6962181067</v>
      </c>
      <c r="B710" s="1">
        <v>42648</v>
      </c>
      <c r="C710">
        <v>15448</v>
      </c>
      <c r="D710" s="2">
        <v>10210000038147</v>
      </c>
      <c r="E710" s="2">
        <v>347000002861023</v>
      </c>
      <c r="F710" t="s">
        <v>127</v>
      </c>
      <c r="G710" s="2">
        <v>498999977111816</v>
      </c>
      <c r="H710">
        <v>0</v>
      </c>
      <c r="I710">
        <v>62</v>
      </c>
      <c r="J710">
        <v>34</v>
      </c>
      <c r="K710">
        <v>275</v>
      </c>
      <c r="L710">
        <v>626</v>
      </c>
      <c r="M710">
        <v>2361</v>
      </c>
      <c r="N710" t="str">
        <f t="shared" si="22"/>
        <v>Alta Actividad</v>
      </c>
      <c r="O710" t="str">
        <f t="shared" si="23"/>
        <v>Bajo Sedentarismo</v>
      </c>
    </row>
    <row r="711" spans="1:15" x14ac:dyDescent="0.3">
      <c r="A711">
        <v>6962181067</v>
      </c>
      <c r="B711" s="1">
        <v>42679</v>
      </c>
      <c r="C711">
        <v>6722</v>
      </c>
      <c r="D711" s="2">
        <v>444000005722046</v>
      </c>
      <c r="E711" s="2">
        <v>149000000953674</v>
      </c>
      <c r="F711" t="s">
        <v>75</v>
      </c>
      <c r="G711" s="2">
        <v>265000009536743</v>
      </c>
      <c r="H711">
        <v>0</v>
      </c>
      <c r="I711">
        <v>24</v>
      </c>
      <c r="J711">
        <v>7</v>
      </c>
      <c r="K711">
        <v>199</v>
      </c>
      <c r="L711">
        <v>709</v>
      </c>
      <c r="M711">
        <v>1855</v>
      </c>
      <c r="N711" t="str">
        <f t="shared" si="22"/>
        <v>Baja Actividad</v>
      </c>
      <c r="O711" t="str">
        <f t="shared" si="23"/>
        <v>Alto Sedentarismo</v>
      </c>
    </row>
    <row r="712" spans="1:15" x14ac:dyDescent="0.3">
      <c r="A712">
        <v>6962181067</v>
      </c>
      <c r="B712" s="1">
        <v>42709</v>
      </c>
      <c r="C712">
        <v>3587</v>
      </c>
      <c r="D712" s="2">
        <v>236999988555908</v>
      </c>
      <c r="E712">
        <v>0</v>
      </c>
      <c r="F712" t="s">
        <v>47</v>
      </c>
      <c r="G712" s="2">
        <v>210999989509583</v>
      </c>
      <c r="H712">
        <v>0</v>
      </c>
      <c r="I712">
        <v>0</v>
      </c>
      <c r="J712">
        <v>8</v>
      </c>
      <c r="K712">
        <v>105</v>
      </c>
      <c r="L712">
        <v>127</v>
      </c>
      <c r="M712">
        <v>928</v>
      </c>
      <c r="N712" t="str">
        <f t="shared" si="22"/>
        <v>Baja Actividad</v>
      </c>
      <c r="O712" t="str">
        <f t="shared" si="23"/>
        <v>Bajo Sedentarismo</v>
      </c>
    </row>
    <row r="713" spans="1:15" x14ac:dyDescent="0.3">
      <c r="A713">
        <v>7007744171</v>
      </c>
      <c r="B713" s="1">
        <v>42708</v>
      </c>
      <c r="C713">
        <v>14172</v>
      </c>
      <c r="D713" s="2">
        <v>10289999961853</v>
      </c>
      <c r="E713" t="s">
        <v>106</v>
      </c>
      <c r="F713" t="s">
        <v>114</v>
      </c>
      <c r="G713" s="2">
        <v>540999984741211</v>
      </c>
      <c r="H713">
        <v>0</v>
      </c>
      <c r="I713">
        <v>53</v>
      </c>
      <c r="J713">
        <v>8</v>
      </c>
      <c r="K713">
        <v>355</v>
      </c>
      <c r="L713">
        <v>1024</v>
      </c>
      <c r="M713">
        <v>2937</v>
      </c>
      <c r="N713" t="str">
        <f t="shared" si="22"/>
        <v>Alta Actividad</v>
      </c>
      <c r="O713" t="str">
        <f t="shared" si="23"/>
        <v>Alto Sedentarismo</v>
      </c>
    </row>
    <row r="714" spans="1:15" x14ac:dyDescent="0.3">
      <c r="A714">
        <v>7007744171</v>
      </c>
      <c r="B714" t="s">
        <v>15</v>
      </c>
      <c r="C714">
        <v>12862</v>
      </c>
      <c r="D714" s="2">
        <v>964999961853027</v>
      </c>
      <c r="E714" s="2">
        <v>46100001335144</v>
      </c>
      <c r="F714" t="s">
        <v>121</v>
      </c>
      <c r="G714" s="2">
        <v>448000001907349</v>
      </c>
      <c r="H714">
        <v>0</v>
      </c>
      <c r="I714">
        <v>56</v>
      </c>
      <c r="J714">
        <v>22</v>
      </c>
      <c r="K714">
        <v>261</v>
      </c>
      <c r="L714">
        <v>1101</v>
      </c>
      <c r="M714">
        <v>2742</v>
      </c>
      <c r="N714" t="str">
        <f t="shared" si="22"/>
        <v>Alta Actividad</v>
      </c>
      <c r="O714" t="str">
        <f t="shared" si="23"/>
        <v>Alto Sedentarismo</v>
      </c>
    </row>
    <row r="715" spans="1:15" x14ac:dyDescent="0.3">
      <c r="A715">
        <v>7007744171</v>
      </c>
      <c r="B715" t="s">
        <v>17</v>
      </c>
      <c r="C715">
        <v>11179</v>
      </c>
      <c r="D715" s="2">
        <v>823999977111816</v>
      </c>
      <c r="E715" s="2">
        <v>295000004768372</v>
      </c>
      <c r="F715" t="s">
        <v>107</v>
      </c>
      <c r="G715" s="2">
        <v>496000003814697</v>
      </c>
      <c r="H715">
        <v>0</v>
      </c>
      <c r="I715">
        <v>34</v>
      </c>
      <c r="J715">
        <v>6</v>
      </c>
      <c r="K715">
        <v>304</v>
      </c>
      <c r="L715">
        <v>1096</v>
      </c>
      <c r="M715">
        <v>2668</v>
      </c>
      <c r="N715" t="str">
        <f t="shared" si="22"/>
        <v>Alta Actividad</v>
      </c>
      <c r="O715" t="str">
        <f t="shared" si="23"/>
        <v>Alto Sedentarismo</v>
      </c>
    </row>
    <row r="716" spans="1:15" x14ac:dyDescent="0.3">
      <c r="A716">
        <v>7007744171</v>
      </c>
      <c r="B716" t="s">
        <v>19</v>
      </c>
      <c r="C716">
        <v>5273</v>
      </c>
      <c r="D716" s="2">
        <v>352999997138977</v>
      </c>
      <c r="E716">
        <v>0</v>
      </c>
      <c r="F716">
        <v>0</v>
      </c>
      <c r="G716" s="2">
        <v>352999997138977</v>
      </c>
      <c r="H716">
        <v>0</v>
      </c>
      <c r="I716">
        <v>0</v>
      </c>
      <c r="J716">
        <v>0</v>
      </c>
      <c r="K716">
        <v>202</v>
      </c>
      <c r="L716">
        <v>1238</v>
      </c>
      <c r="M716">
        <v>2098</v>
      </c>
      <c r="N716" t="str">
        <f t="shared" si="22"/>
        <v>Baja Actividad</v>
      </c>
      <c r="O716" t="str">
        <f t="shared" si="23"/>
        <v>Alto Sedentarismo</v>
      </c>
    </row>
    <row r="717" spans="1:15" x14ac:dyDescent="0.3">
      <c r="A717">
        <v>7007744171</v>
      </c>
      <c r="B717" t="s">
        <v>20</v>
      </c>
      <c r="C717">
        <v>4631</v>
      </c>
      <c r="D717" s="2">
        <v>309999990463257</v>
      </c>
      <c r="E717">
        <v>0</v>
      </c>
      <c r="F717">
        <v>0</v>
      </c>
      <c r="G717" s="2">
        <v>309999990463257</v>
      </c>
      <c r="H717">
        <v>0</v>
      </c>
      <c r="I717">
        <v>0</v>
      </c>
      <c r="J717">
        <v>0</v>
      </c>
      <c r="K717">
        <v>203</v>
      </c>
      <c r="L717">
        <v>1155</v>
      </c>
      <c r="M717">
        <v>2076</v>
      </c>
      <c r="N717" t="str">
        <f t="shared" si="22"/>
        <v>Baja Actividad</v>
      </c>
      <c r="O717" t="str">
        <f t="shared" si="23"/>
        <v>Alto Sedentarismo</v>
      </c>
    </row>
    <row r="718" spans="1:15" x14ac:dyDescent="0.3">
      <c r="A718">
        <v>7007744171</v>
      </c>
      <c r="B718" t="s">
        <v>22</v>
      </c>
      <c r="C718">
        <v>8059</v>
      </c>
      <c r="D718" s="2">
        <v>53899998664856</v>
      </c>
      <c r="E718">
        <v>0</v>
      </c>
      <c r="F718">
        <v>0</v>
      </c>
      <c r="G718" s="2">
        <v>53899998664856</v>
      </c>
      <c r="H718">
        <v>0</v>
      </c>
      <c r="I718">
        <v>0</v>
      </c>
      <c r="J718">
        <v>0</v>
      </c>
      <c r="K718">
        <v>305</v>
      </c>
      <c r="L718">
        <v>1135</v>
      </c>
      <c r="M718">
        <v>2383</v>
      </c>
      <c r="N718" t="str">
        <f t="shared" si="22"/>
        <v>Baja Actividad</v>
      </c>
      <c r="O718" t="str">
        <f t="shared" si="23"/>
        <v>Alto Sedentarismo</v>
      </c>
    </row>
    <row r="719" spans="1:15" x14ac:dyDescent="0.3">
      <c r="A719">
        <v>7007744171</v>
      </c>
      <c r="B719" t="s">
        <v>24</v>
      </c>
      <c r="C719">
        <v>14816</v>
      </c>
      <c r="D719" s="2">
        <v>109799995422363</v>
      </c>
      <c r="E719" s="2">
        <v>378999996185303</v>
      </c>
      <c r="F719" s="2">
        <v>211999988555908</v>
      </c>
      <c r="G719" s="2">
        <v>505000019073486</v>
      </c>
      <c r="H719" t="s">
        <v>54</v>
      </c>
      <c r="I719">
        <v>48</v>
      </c>
      <c r="J719">
        <v>31</v>
      </c>
      <c r="K719">
        <v>284</v>
      </c>
      <c r="L719">
        <v>1077</v>
      </c>
      <c r="M719">
        <v>2832</v>
      </c>
      <c r="N719" t="str">
        <f t="shared" si="22"/>
        <v>Alta Actividad</v>
      </c>
      <c r="O719" t="str">
        <f t="shared" si="23"/>
        <v>Alto Sedentarismo</v>
      </c>
    </row>
    <row r="720" spans="1:15" x14ac:dyDescent="0.3">
      <c r="A720">
        <v>7007744171</v>
      </c>
      <c r="B720" t="s">
        <v>27</v>
      </c>
      <c r="C720">
        <v>14194</v>
      </c>
      <c r="D720" s="2">
        <v>104799995422363</v>
      </c>
      <c r="E720" s="2">
        <v>440999984741211</v>
      </c>
      <c r="F720" t="s">
        <v>143</v>
      </c>
      <c r="G720" s="2">
        <v>530999994277954</v>
      </c>
      <c r="H720">
        <v>0</v>
      </c>
      <c r="I720">
        <v>53</v>
      </c>
      <c r="J720">
        <v>17</v>
      </c>
      <c r="K720">
        <v>304</v>
      </c>
      <c r="L720">
        <v>1066</v>
      </c>
      <c r="M720">
        <v>2812</v>
      </c>
      <c r="N720" t="str">
        <f t="shared" si="22"/>
        <v>Alta Actividad</v>
      </c>
      <c r="O720" t="str">
        <f t="shared" si="23"/>
        <v>Alto Sedentarismo</v>
      </c>
    </row>
    <row r="721" spans="1:15" x14ac:dyDescent="0.3">
      <c r="A721">
        <v>7007744171</v>
      </c>
      <c r="B721" t="s">
        <v>28</v>
      </c>
      <c r="C721">
        <v>15566</v>
      </c>
      <c r="D721" s="2">
        <v>113100004196167</v>
      </c>
      <c r="E721" s="2">
        <v>478999996185303</v>
      </c>
      <c r="F721" t="s">
        <v>110</v>
      </c>
      <c r="G721" s="2">
        <v>58600001335144</v>
      </c>
      <c r="H721">
        <v>0</v>
      </c>
      <c r="I721">
        <v>60</v>
      </c>
      <c r="J721">
        <v>33</v>
      </c>
      <c r="K721">
        <v>347</v>
      </c>
      <c r="L721">
        <v>1000</v>
      </c>
      <c r="M721">
        <v>3096</v>
      </c>
      <c r="N721" t="str">
        <f t="shared" si="22"/>
        <v>Alta Actividad</v>
      </c>
      <c r="O721" t="str">
        <f t="shared" si="23"/>
        <v>Alto Sedentarismo</v>
      </c>
    </row>
    <row r="722" spans="1:15" x14ac:dyDescent="0.3">
      <c r="A722">
        <v>7007744171</v>
      </c>
      <c r="B722" t="s">
        <v>30</v>
      </c>
      <c r="C722">
        <v>13744</v>
      </c>
      <c r="D722" s="2">
        <v>91899995803833</v>
      </c>
      <c r="E722" s="2">
        <v>215000009536743</v>
      </c>
      <c r="F722" s="2">
        <v>187000000476837</v>
      </c>
      <c r="G722" s="2">
        <v>517000007629395</v>
      </c>
      <c r="H722">
        <v>0</v>
      </c>
      <c r="I722">
        <v>30</v>
      </c>
      <c r="J722">
        <v>34</v>
      </c>
      <c r="K722">
        <v>327</v>
      </c>
      <c r="L722">
        <v>1049</v>
      </c>
      <c r="M722">
        <v>2763</v>
      </c>
      <c r="N722" t="str">
        <f t="shared" si="22"/>
        <v>Alta Actividad</v>
      </c>
      <c r="O722" t="str">
        <f t="shared" si="23"/>
        <v>Alto Sedentarismo</v>
      </c>
    </row>
    <row r="723" spans="1:15" x14ac:dyDescent="0.3">
      <c r="A723">
        <v>7007744171</v>
      </c>
      <c r="B723" t="s">
        <v>32</v>
      </c>
      <c r="C723">
        <v>15299</v>
      </c>
      <c r="D723" s="2">
        <v>102399997711182</v>
      </c>
      <c r="E723" s="2">
        <v>409999990463257</v>
      </c>
      <c r="F723" s="2">
        <v>175999999046326</v>
      </c>
      <c r="G723" s="2">
        <v>436999988555908</v>
      </c>
      <c r="H723">
        <v>0</v>
      </c>
      <c r="I723">
        <v>64</v>
      </c>
      <c r="J723">
        <v>50</v>
      </c>
      <c r="K723">
        <v>261</v>
      </c>
      <c r="L723">
        <v>1065</v>
      </c>
      <c r="M723">
        <v>2889</v>
      </c>
      <c r="N723" t="str">
        <f t="shared" si="22"/>
        <v>Alta Actividad</v>
      </c>
      <c r="O723" t="str">
        <f t="shared" si="23"/>
        <v>Alto Sedentarismo</v>
      </c>
    </row>
    <row r="724" spans="1:15" x14ac:dyDescent="0.3">
      <c r="A724">
        <v>7007744171</v>
      </c>
      <c r="B724" t="s">
        <v>33</v>
      </c>
      <c r="C724">
        <v>8093</v>
      </c>
      <c r="D724" s="2">
        <v>540999984741211</v>
      </c>
      <c r="E724" t="s">
        <v>86</v>
      </c>
      <c r="F724" s="2">
        <v>112999999523163</v>
      </c>
      <c r="G724" s="2">
        <v>415000009536743</v>
      </c>
      <c r="H724">
        <v>0</v>
      </c>
      <c r="I724">
        <v>2</v>
      </c>
      <c r="J724">
        <v>25</v>
      </c>
      <c r="K724">
        <v>223</v>
      </c>
      <c r="L724">
        <v>1190</v>
      </c>
      <c r="M724">
        <v>2284</v>
      </c>
      <c r="N724" t="str">
        <f t="shared" si="22"/>
        <v>Baja Actividad</v>
      </c>
      <c r="O724" t="str">
        <f t="shared" si="23"/>
        <v>Alto Sedentarismo</v>
      </c>
    </row>
    <row r="725" spans="1:15" x14ac:dyDescent="0.3">
      <c r="A725">
        <v>7007744171</v>
      </c>
      <c r="B725" t="s">
        <v>35</v>
      </c>
      <c r="C725">
        <v>11085</v>
      </c>
      <c r="D725" s="2">
        <v>742000007629395</v>
      </c>
      <c r="E725">
        <v>0</v>
      </c>
      <c r="F725">
        <v>0</v>
      </c>
      <c r="G725" s="2">
        <v>742000007629395</v>
      </c>
      <c r="H725">
        <v>0</v>
      </c>
      <c r="I725">
        <v>0</v>
      </c>
      <c r="J725">
        <v>0</v>
      </c>
      <c r="K725">
        <v>419</v>
      </c>
      <c r="L725">
        <v>1021</v>
      </c>
      <c r="M725">
        <v>2667</v>
      </c>
      <c r="N725" t="str">
        <f t="shared" si="22"/>
        <v>Alta Actividad</v>
      </c>
      <c r="O725" t="str">
        <f t="shared" si="23"/>
        <v>Alto Sedentarismo</v>
      </c>
    </row>
    <row r="726" spans="1:15" x14ac:dyDescent="0.3">
      <c r="A726">
        <v>7007744171</v>
      </c>
      <c r="B726" t="s">
        <v>37</v>
      </c>
      <c r="C726">
        <v>18229</v>
      </c>
      <c r="D726" s="2">
        <v>133400001525879</v>
      </c>
      <c r="E726" s="2">
        <v>430999994277954</v>
      </c>
      <c r="F726" s="2">
        <v>137000000476837</v>
      </c>
      <c r="G726" s="2">
        <v>767000007629395</v>
      </c>
      <c r="H726">
        <v>0</v>
      </c>
      <c r="I726">
        <v>51</v>
      </c>
      <c r="J726">
        <v>24</v>
      </c>
      <c r="K726">
        <v>379</v>
      </c>
      <c r="L726">
        <v>986</v>
      </c>
      <c r="M726">
        <v>3055</v>
      </c>
      <c r="N726" t="str">
        <f t="shared" si="22"/>
        <v>Alta Actividad</v>
      </c>
      <c r="O726" t="str">
        <f t="shared" si="23"/>
        <v>Alto Sedentarismo</v>
      </c>
    </row>
    <row r="727" spans="1:15" x14ac:dyDescent="0.3">
      <c r="A727">
        <v>7007744171</v>
      </c>
      <c r="B727" t="s">
        <v>39</v>
      </c>
      <c r="C727">
        <v>15090</v>
      </c>
      <c r="D727" s="2">
        <v>101000003814697</v>
      </c>
      <c r="E727" t="s">
        <v>109</v>
      </c>
      <c r="F727" t="s">
        <v>104</v>
      </c>
      <c r="G727" s="2">
        <v>822999954223633</v>
      </c>
      <c r="H727">
        <v>0</v>
      </c>
      <c r="I727">
        <v>16</v>
      </c>
      <c r="J727">
        <v>22</v>
      </c>
      <c r="K727">
        <v>424</v>
      </c>
      <c r="L727">
        <v>978</v>
      </c>
      <c r="M727">
        <v>2939</v>
      </c>
      <c r="N727" t="str">
        <f t="shared" si="22"/>
        <v>Alta Actividad</v>
      </c>
      <c r="O727" t="str">
        <f t="shared" si="23"/>
        <v>Alto Sedentarismo</v>
      </c>
    </row>
    <row r="728" spans="1:15" x14ac:dyDescent="0.3">
      <c r="A728">
        <v>7007744171</v>
      </c>
      <c r="B728" t="s">
        <v>41</v>
      </c>
      <c r="C728">
        <v>13541</v>
      </c>
      <c r="D728" s="2">
        <v>102200002670288</v>
      </c>
      <c r="E728" s="2">
        <v>426999998092651</v>
      </c>
      <c r="F728" t="s">
        <v>101</v>
      </c>
      <c r="G728" s="2">
        <v>528999996185303</v>
      </c>
      <c r="H728">
        <v>0</v>
      </c>
      <c r="I728">
        <v>50</v>
      </c>
      <c r="J728">
        <v>12</v>
      </c>
      <c r="K728">
        <v>337</v>
      </c>
      <c r="L728">
        <v>1041</v>
      </c>
      <c r="M728">
        <v>2830</v>
      </c>
      <c r="N728" t="str">
        <f t="shared" si="22"/>
        <v>Alta Actividad</v>
      </c>
      <c r="O728" t="str">
        <f t="shared" si="23"/>
        <v>Alto Sedentarismo</v>
      </c>
    </row>
    <row r="729" spans="1:15" x14ac:dyDescent="0.3">
      <c r="A729">
        <v>7007744171</v>
      </c>
      <c r="B729" t="s">
        <v>42</v>
      </c>
      <c r="C729">
        <v>15128</v>
      </c>
      <c r="D729" s="2">
        <v>101199998855591</v>
      </c>
      <c r="E729" s="2">
        <v>10900000333786</v>
      </c>
      <c r="F729" t="s">
        <v>99</v>
      </c>
      <c r="G729" s="2">
        <v>826000022888184</v>
      </c>
      <c r="H729">
        <v>0</v>
      </c>
      <c r="I729">
        <v>16</v>
      </c>
      <c r="J729">
        <v>16</v>
      </c>
      <c r="K729">
        <v>401</v>
      </c>
      <c r="L729">
        <v>1007</v>
      </c>
      <c r="M729">
        <v>2836</v>
      </c>
      <c r="N729" t="str">
        <f t="shared" si="22"/>
        <v>Alta Actividad</v>
      </c>
      <c r="O729" t="str">
        <f t="shared" si="23"/>
        <v>Alto Sedentarismo</v>
      </c>
    </row>
    <row r="730" spans="1:15" x14ac:dyDescent="0.3">
      <c r="A730">
        <v>7007744171</v>
      </c>
      <c r="B730" t="s">
        <v>43</v>
      </c>
      <c r="C730">
        <v>20067</v>
      </c>
      <c r="D730" s="2">
        <v>143000001907349</v>
      </c>
      <c r="E730" s="2">
        <v>430999994277954</v>
      </c>
      <c r="F730" s="2">
        <v>204999995231628</v>
      </c>
      <c r="G730" s="2">
        <v>794999980926514</v>
      </c>
      <c r="H730">
        <v>0</v>
      </c>
      <c r="I730">
        <v>55</v>
      </c>
      <c r="J730">
        <v>42</v>
      </c>
      <c r="K730">
        <v>382</v>
      </c>
      <c r="L730">
        <v>961</v>
      </c>
      <c r="M730">
        <v>3180</v>
      </c>
      <c r="N730" t="str">
        <f t="shared" si="22"/>
        <v>Alta Actividad</v>
      </c>
      <c r="O730" t="str">
        <f t="shared" si="23"/>
        <v>Alto Sedentarismo</v>
      </c>
    </row>
    <row r="731" spans="1:15" x14ac:dyDescent="0.3">
      <c r="A731">
        <v>7007744171</v>
      </c>
      <c r="B731" t="s">
        <v>45</v>
      </c>
      <c r="C731">
        <v>3761</v>
      </c>
      <c r="D731" s="2">
        <v>251999998092651</v>
      </c>
      <c r="E731">
        <v>0</v>
      </c>
      <c r="F731">
        <v>0</v>
      </c>
      <c r="G731" s="2">
        <v>251999998092651</v>
      </c>
      <c r="H731">
        <v>0</v>
      </c>
      <c r="I731">
        <v>0</v>
      </c>
      <c r="J731">
        <v>0</v>
      </c>
      <c r="K731">
        <v>200</v>
      </c>
      <c r="L731">
        <v>1240</v>
      </c>
      <c r="M731">
        <v>2051</v>
      </c>
      <c r="N731" t="str">
        <f t="shared" si="22"/>
        <v>Baja Actividad</v>
      </c>
      <c r="O731" t="str">
        <f t="shared" si="23"/>
        <v>Alto Sedentarismo</v>
      </c>
    </row>
    <row r="732" spans="1:15" x14ac:dyDescent="0.3">
      <c r="A732">
        <v>7007744171</v>
      </c>
      <c r="B732" s="1">
        <v>42374</v>
      </c>
      <c r="C732">
        <v>5600</v>
      </c>
      <c r="D732" t="s">
        <v>149</v>
      </c>
      <c r="E732">
        <v>0</v>
      </c>
      <c r="F732">
        <v>0</v>
      </c>
      <c r="G732" t="s">
        <v>149</v>
      </c>
      <c r="H732">
        <v>0</v>
      </c>
      <c r="I732">
        <v>0</v>
      </c>
      <c r="J732">
        <v>0</v>
      </c>
      <c r="K732">
        <v>237</v>
      </c>
      <c r="L732">
        <v>1142</v>
      </c>
      <c r="M732">
        <v>2225</v>
      </c>
      <c r="N732" t="str">
        <f t="shared" si="22"/>
        <v>Baja Actividad</v>
      </c>
      <c r="O732" t="str">
        <f t="shared" si="23"/>
        <v>Alto Sedentarismo</v>
      </c>
    </row>
    <row r="733" spans="1:15" x14ac:dyDescent="0.3">
      <c r="A733">
        <v>7007744171</v>
      </c>
      <c r="B733" s="1">
        <v>42405</v>
      </c>
      <c r="C733">
        <v>13041</v>
      </c>
      <c r="D733" s="2">
        <v>918000030517578</v>
      </c>
      <c r="E733" s="2">
        <v>46399998664856</v>
      </c>
      <c r="F733" t="s">
        <v>128</v>
      </c>
      <c r="G733" s="2">
        <v>382999992370605</v>
      </c>
      <c r="H733">
        <v>0</v>
      </c>
      <c r="I733">
        <v>64</v>
      </c>
      <c r="J733">
        <v>14</v>
      </c>
      <c r="K733">
        <v>250</v>
      </c>
      <c r="L733">
        <v>1112</v>
      </c>
      <c r="M733">
        <v>2642</v>
      </c>
      <c r="N733" t="str">
        <f t="shared" si="22"/>
        <v>Alta Actividad</v>
      </c>
      <c r="O733" t="str">
        <f t="shared" si="23"/>
        <v>Alto Sedentarismo</v>
      </c>
    </row>
    <row r="734" spans="1:15" x14ac:dyDescent="0.3">
      <c r="A734">
        <v>7007744171</v>
      </c>
      <c r="B734" s="1">
        <v>42434</v>
      </c>
      <c r="C734">
        <v>14510</v>
      </c>
      <c r="D734" s="2">
        <v>108699998855591</v>
      </c>
      <c r="E734" s="2">
        <v>448000001907349</v>
      </c>
      <c r="F734" s="2">
        <v>101999998092651</v>
      </c>
      <c r="G734" s="2">
        <v>53600001335144</v>
      </c>
      <c r="H734">
        <v>0</v>
      </c>
      <c r="I734">
        <v>58</v>
      </c>
      <c r="J734">
        <v>31</v>
      </c>
      <c r="K734">
        <v>330</v>
      </c>
      <c r="L734">
        <v>1021</v>
      </c>
      <c r="M734">
        <v>2976</v>
      </c>
      <c r="N734" t="str">
        <f t="shared" si="22"/>
        <v>Alta Actividad</v>
      </c>
      <c r="O734" t="str">
        <f t="shared" si="23"/>
        <v>Alto Sedentarismo</v>
      </c>
    </row>
    <row r="735" spans="1:15" x14ac:dyDescent="0.3">
      <c r="A735">
        <v>7007744171</v>
      </c>
      <c r="B735" s="1">
        <v>42465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1440</v>
      </c>
      <c r="M735">
        <v>1557</v>
      </c>
      <c r="N735" t="str">
        <f t="shared" si="22"/>
        <v>Baja Actividad</v>
      </c>
      <c r="O735" t="str">
        <f t="shared" si="23"/>
        <v>Alto Sedentarismo</v>
      </c>
    </row>
    <row r="736" spans="1:15" x14ac:dyDescent="0.3">
      <c r="A736">
        <v>7007744171</v>
      </c>
      <c r="B736" s="1">
        <v>42495</v>
      </c>
      <c r="C736">
        <v>15010</v>
      </c>
      <c r="D736" s="2">
        <v>111000003814697</v>
      </c>
      <c r="E736" s="2">
        <v>432999992370605</v>
      </c>
      <c r="F736" s="2">
        <v>128999996185303</v>
      </c>
      <c r="G736" s="2">
        <v>548000001907349</v>
      </c>
      <c r="H736">
        <v>0</v>
      </c>
      <c r="I736">
        <v>53</v>
      </c>
      <c r="J736">
        <v>23</v>
      </c>
      <c r="K736">
        <v>317</v>
      </c>
      <c r="L736">
        <v>1047</v>
      </c>
      <c r="M736">
        <v>2933</v>
      </c>
      <c r="N736" t="str">
        <f t="shared" si="22"/>
        <v>Alta Actividad</v>
      </c>
      <c r="O736" t="str">
        <f t="shared" si="23"/>
        <v>Alto Sedentarismo</v>
      </c>
    </row>
    <row r="737" spans="1:15" x14ac:dyDescent="0.3">
      <c r="A737">
        <v>7007744171</v>
      </c>
      <c r="B737" s="1">
        <v>42526</v>
      </c>
      <c r="C737">
        <v>11459</v>
      </c>
      <c r="D737" s="2">
        <v>767000007629395</v>
      </c>
      <c r="E737">
        <v>3</v>
      </c>
      <c r="F737" t="s">
        <v>82</v>
      </c>
      <c r="G737" s="2">
        <v>385999989509583</v>
      </c>
      <c r="H737">
        <v>0</v>
      </c>
      <c r="I737">
        <v>44</v>
      </c>
      <c r="J737">
        <v>13</v>
      </c>
      <c r="K737">
        <v>247</v>
      </c>
      <c r="L737">
        <v>1136</v>
      </c>
      <c r="M737">
        <v>2553</v>
      </c>
      <c r="N737" t="str">
        <f t="shared" si="22"/>
        <v>Alta Actividad</v>
      </c>
      <c r="O737" t="str">
        <f t="shared" si="23"/>
        <v>Alto Sedentarismo</v>
      </c>
    </row>
    <row r="738" spans="1:15" x14ac:dyDescent="0.3">
      <c r="A738">
        <v>7007744171</v>
      </c>
      <c r="B738" s="1">
        <v>42556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111</v>
      </c>
      <c r="M738">
        <v>120</v>
      </c>
      <c r="N738" t="str">
        <f t="shared" si="22"/>
        <v>Baja Actividad</v>
      </c>
      <c r="O738" t="str">
        <f t="shared" si="23"/>
        <v>Bajo Sedentarismo</v>
      </c>
    </row>
    <row r="739" spans="1:15" x14ac:dyDescent="0.3">
      <c r="A739">
        <v>7086361926</v>
      </c>
      <c r="B739" s="1">
        <v>42708</v>
      </c>
      <c r="C739">
        <v>11317</v>
      </c>
      <c r="D739" s="2">
        <v>840999984741211</v>
      </c>
      <c r="E739" s="2">
        <v>526999998092651</v>
      </c>
      <c r="F739" t="s">
        <v>63</v>
      </c>
      <c r="G739" s="2">
        <v>297000002861023</v>
      </c>
      <c r="H739">
        <v>0</v>
      </c>
      <c r="I739">
        <v>59</v>
      </c>
      <c r="J739">
        <v>6</v>
      </c>
      <c r="K739">
        <v>153</v>
      </c>
      <c r="L739">
        <v>745</v>
      </c>
      <c r="M739">
        <v>2772</v>
      </c>
      <c r="N739" t="str">
        <f t="shared" si="22"/>
        <v>Alta Actividad</v>
      </c>
      <c r="O739" t="str">
        <f t="shared" si="23"/>
        <v>Alto Sedentarismo</v>
      </c>
    </row>
    <row r="740" spans="1:15" x14ac:dyDescent="0.3">
      <c r="A740">
        <v>7086361926</v>
      </c>
      <c r="B740" t="s">
        <v>15</v>
      </c>
      <c r="C740">
        <v>5813</v>
      </c>
      <c r="D740" s="2">
        <v>361999988555908</v>
      </c>
      <c r="E740" t="s">
        <v>121</v>
      </c>
      <c r="F740" t="s">
        <v>36</v>
      </c>
      <c r="G740" s="2">
        <v>283999991416931</v>
      </c>
      <c r="H740">
        <v>0</v>
      </c>
      <c r="I740">
        <v>31</v>
      </c>
      <c r="J740">
        <v>26</v>
      </c>
      <c r="K740">
        <v>155</v>
      </c>
      <c r="L740">
        <v>744</v>
      </c>
      <c r="M740">
        <v>2516</v>
      </c>
      <c r="N740" t="str">
        <f t="shared" si="22"/>
        <v>Baja Actividad</v>
      </c>
      <c r="O740" t="str">
        <f t="shared" si="23"/>
        <v>Alto Sedentarismo</v>
      </c>
    </row>
    <row r="741" spans="1:15" x14ac:dyDescent="0.3">
      <c r="A741">
        <v>7086361926</v>
      </c>
      <c r="B741" t="s">
        <v>17</v>
      </c>
      <c r="C741">
        <v>9123</v>
      </c>
      <c r="D741" s="2">
        <v>611999988555908</v>
      </c>
      <c r="E741" s="2">
        <v>202999997138977</v>
      </c>
      <c r="F741" t="s">
        <v>122</v>
      </c>
      <c r="G741" s="2">
        <v>366000008583069</v>
      </c>
      <c r="H741">
        <v>0</v>
      </c>
      <c r="I741">
        <v>35</v>
      </c>
      <c r="J741">
        <v>32</v>
      </c>
      <c r="K741">
        <v>189</v>
      </c>
      <c r="L741">
        <v>787</v>
      </c>
      <c r="M741">
        <v>2734</v>
      </c>
      <c r="N741" t="str">
        <f t="shared" si="22"/>
        <v>Baja Actividad</v>
      </c>
      <c r="O741" t="str">
        <f t="shared" si="23"/>
        <v>Alto Sedentarismo</v>
      </c>
    </row>
    <row r="742" spans="1:15" x14ac:dyDescent="0.3">
      <c r="A742">
        <v>7086361926</v>
      </c>
      <c r="B742" t="s">
        <v>19</v>
      </c>
      <c r="C742">
        <v>8585</v>
      </c>
      <c r="D742" s="2">
        <v>567000007629395</v>
      </c>
      <c r="E742" s="2">
        <v>203999996185303</v>
      </c>
      <c r="F742" s="2">
        <v>111000001430511</v>
      </c>
      <c r="G742" s="2">
        <v>252999997138977</v>
      </c>
      <c r="H742">
        <v>0</v>
      </c>
      <c r="I742">
        <v>30</v>
      </c>
      <c r="J742">
        <v>21</v>
      </c>
      <c r="K742">
        <v>139</v>
      </c>
      <c r="L742">
        <v>864</v>
      </c>
      <c r="M742">
        <v>2395</v>
      </c>
      <c r="N742" t="str">
        <f t="shared" si="22"/>
        <v>Baja Actividad</v>
      </c>
      <c r="O742" t="str">
        <f t="shared" si="23"/>
        <v>Alto Sedentarismo</v>
      </c>
    </row>
    <row r="743" spans="1:15" x14ac:dyDescent="0.3">
      <c r="A743">
        <v>7086361926</v>
      </c>
      <c r="B743" t="s">
        <v>20</v>
      </c>
      <c r="C743">
        <v>31</v>
      </c>
      <c r="D743" t="s">
        <v>50</v>
      </c>
      <c r="E743">
        <v>0</v>
      </c>
      <c r="F743">
        <v>0</v>
      </c>
      <c r="G743" t="s">
        <v>50</v>
      </c>
      <c r="H743">
        <v>0</v>
      </c>
      <c r="I743">
        <v>0</v>
      </c>
      <c r="J743">
        <v>0</v>
      </c>
      <c r="K743">
        <v>3</v>
      </c>
      <c r="L743">
        <v>1437</v>
      </c>
      <c r="M743">
        <v>1635</v>
      </c>
      <c r="N743" t="str">
        <f t="shared" si="22"/>
        <v>Baja Actividad</v>
      </c>
      <c r="O743" t="str">
        <f t="shared" si="23"/>
        <v>Alto Sedentarismo</v>
      </c>
    </row>
    <row r="744" spans="1:15" x14ac:dyDescent="0.3">
      <c r="A744">
        <v>7086361926</v>
      </c>
      <c r="B744" t="s">
        <v>22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1440</v>
      </c>
      <c r="M744">
        <v>1629</v>
      </c>
      <c r="N744" t="str">
        <f t="shared" si="22"/>
        <v>Baja Actividad</v>
      </c>
      <c r="O744" t="str">
        <f t="shared" si="23"/>
        <v>Alto Sedentarismo</v>
      </c>
    </row>
    <row r="745" spans="1:15" x14ac:dyDescent="0.3">
      <c r="A745">
        <v>7086361926</v>
      </c>
      <c r="B745" t="s">
        <v>24</v>
      </c>
      <c r="C745">
        <v>9827</v>
      </c>
      <c r="D745" s="2">
        <v>671000003814697</v>
      </c>
      <c r="E745" s="2">
        <v>317000007629395</v>
      </c>
      <c r="F745" s="2">
        <v>122000002861023</v>
      </c>
      <c r="G745" s="2">
        <v>230999994277954</v>
      </c>
      <c r="H745">
        <v>0</v>
      </c>
      <c r="I745">
        <v>61</v>
      </c>
      <c r="J745">
        <v>51</v>
      </c>
      <c r="K745">
        <v>114</v>
      </c>
      <c r="L745">
        <v>1136</v>
      </c>
      <c r="M745">
        <v>2743</v>
      </c>
      <c r="N745" t="str">
        <f t="shared" si="22"/>
        <v>Baja Actividad</v>
      </c>
      <c r="O745" t="str">
        <f t="shared" si="23"/>
        <v>Alto Sedentarismo</v>
      </c>
    </row>
    <row r="746" spans="1:15" x14ac:dyDescent="0.3">
      <c r="A746">
        <v>7086361926</v>
      </c>
      <c r="B746" t="s">
        <v>27</v>
      </c>
      <c r="C746">
        <v>10688</v>
      </c>
      <c r="D746" s="2">
        <v>728999996185303</v>
      </c>
      <c r="E746" s="2">
        <v>352999997138977</v>
      </c>
      <c r="F746" s="2">
        <v>123000001907349</v>
      </c>
      <c r="G746" s="2">
        <v>250999999046326</v>
      </c>
      <c r="H746">
        <v>0</v>
      </c>
      <c r="I746">
        <v>67</v>
      </c>
      <c r="J746">
        <v>69</v>
      </c>
      <c r="K746">
        <v>124</v>
      </c>
      <c r="L746">
        <v>671</v>
      </c>
      <c r="M746">
        <v>2944</v>
      </c>
      <c r="N746" t="str">
        <f t="shared" si="22"/>
        <v>Alta Actividad</v>
      </c>
      <c r="O746" t="str">
        <f t="shared" si="23"/>
        <v>Bajo Sedentarismo</v>
      </c>
    </row>
    <row r="747" spans="1:15" x14ac:dyDescent="0.3">
      <c r="A747">
        <v>7086361926</v>
      </c>
      <c r="B747" t="s">
        <v>28</v>
      </c>
      <c r="C747">
        <v>14365</v>
      </c>
      <c r="D747" s="2">
        <v>106400003433228</v>
      </c>
      <c r="E747" s="2">
        <v>76399998664856</v>
      </c>
      <c r="F747" t="s">
        <v>130</v>
      </c>
      <c r="G747" s="2">
        <v>253999996185303</v>
      </c>
      <c r="H747">
        <v>0</v>
      </c>
      <c r="I747">
        <v>87</v>
      </c>
      <c r="J747">
        <v>13</v>
      </c>
      <c r="K747">
        <v>145</v>
      </c>
      <c r="L747">
        <v>797</v>
      </c>
      <c r="M747">
        <v>2997</v>
      </c>
      <c r="N747" t="str">
        <f t="shared" si="22"/>
        <v>Alta Actividad</v>
      </c>
      <c r="O747" t="str">
        <f t="shared" si="23"/>
        <v>Alto Sedentarismo</v>
      </c>
    </row>
    <row r="748" spans="1:15" x14ac:dyDescent="0.3">
      <c r="A748">
        <v>7086361926</v>
      </c>
      <c r="B748" t="s">
        <v>30</v>
      </c>
      <c r="C748">
        <v>9469</v>
      </c>
      <c r="D748" s="2">
        <v>617999982833862</v>
      </c>
      <c r="E748" s="2">
        <v>136000001430511</v>
      </c>
      <c r="F748" t="s">
        <v>96</v>
      </c>
      <c r="G748" s="2">
        <v>451000022888184</v>
      </c>
      <c r="H748">
        <v>0</v>
      </c>
      <c r="I748">
        <v>19</v>
      </c>
      <c r="J748">
        <v>6</v>
      </c>
      <c r="K748">
        <v>206</v>
      </c>
      <c r="L748">
        <v>758</v>
      </c>
      <c r="M748">
        <v>2463</v>
      </c>
      <c r="N748" t="str">
        <f t="shared" si="22"/>
        <v>Baja Actividad</v>
      </c>
      <c r="O748" t="str">
        <f t="shared" si="23"/>
        <v>Alto Sedentarismo</v>
      </c>
    </row>
    <row r="749" spans="1:15" x14ac:dyDescent="0.3">
      <c r="A749">
        <v>7086361926</v>
      </c>
      <c r="B749" t="s">
        <v>32</v>
      </c>
      <c r="C749">
        <v>9753</v>
      </c>
      <c r="D749" s="2">
        <v>653000020980835</v>
      </c>
      <c r="E749" s="2">
        <v>286999988555908</v>
      </c>
      <c r="F749" t="s">
        <v>52</v>
      </c>
      <c r="G749" s="2">
        <v>267000007629395</v>
      </c>
      <c r="H749">
        <v>0</v>
      </c>
      <c r="I749">
        <v>58</v>
      </c>
      <c r="J749">
        <v>59</v>
      </c>
      <c r="K749">
        <v>153</v>
      </c>
      <c r="L749">
        <v>762</v>
      </c>
      <c r="M749">
        <v>2846</v>
      </c>
      <c r="N749" t="str">
        <f t="shared" si="22"/>
        <v>Baja Actividad</v>
      </c>
      <c r="O749" t="str">
        <f t="shared" si="23"/>
        <v>Alto Sedentarismo</v>
      </c>
    </row>
    <row r="750" spans="1:15" x14ac:dyDescent="0.3">
      <c r="A750">
        <v>7086361926</v>
      </c>
      <c r="B750" t="s">
        <v>33</v>
      </c>
      <c r="C750">
        <v>2817</v>
      </c>
      <c r="D750" s="2">
        <v>180999994277954</v>
      </c>
      <c r="E750">
        <v>0</v>
      </c>
      <c r="F750">
        <v>0</v>
      </c>
      <c r="G750" s="2">
        <v>179999995231628</v>
      </c>
      <c r="H750">
        <v>0</v>
      </c>
      <c r="I750">
        <v>0</v>
      </c>
      <c r="J750">
        <v>0</v>
      </c>
      <c r="K750">
        <v>90</v>
      </c>
      <c r="L750">
        <v>1350</v>
      </c>
      <c r="M750">
        <v>1965</v>
      </c>
      <c r="N750" t="str">
        <f t="shared" si="22"/>
        <v>Baja Actividad</v>
      </c>
      <c r="O750" t="str">
        <f t="shared" si="23"/>
        <v>Alto Sedentarismo</v>
      </c>
    </row>
    <row r="751" spans="1:15" x14ac:dyDescent="0.3">
      <c r="A751">
        <v>7086361926</v>
      </c>
      <c r="B751" t="s">
        <v>35</v>
      </c>
      <c r="C751">
        <v>3520</v>
      </c>
      <c r="D751" s="2">
        <v>216000008583069</v>
      </c>
      <c r="E751">
        <v>0</v>
      </c>
      <c r="F751">
        <v>0</v>
      </c>
      <c r="G751" s="2">
        <v>215000009536743</v>
      </c>
      <c r="H751">
        <v>0</v>
      </c>
      <c r="I751">
        <v>0</v>
      </c>
      <c r="J751">
        <v>0</v>
      </c>
      <c r="K751">
        <v>125</v>
      </c>
      <c r="L751">
        <v>566</v>
      </c>
      <c r="M751">
        <v>2049</v>
      </c>
      <c r="N751" t="str">
        <f t="shared" si="22"/>
        <v>Baja Actividad</v>
      </c>
      <c r="O751" t="str">
        <f t="shared" si="23"/>
        <v>Bajo Sedentarismo</v>
      </c>
    </row>
    <row r="752" spans="1:15" x14ac:dyDescent="0.3">
      <c r="A752">
        <v>7086361926</v>
      </c>
      <c r="B752" t="s">
        <v>37</v>
      </c>
      <c r="C752">
        <v>10091</v>
      </c>
      <c r="D752" s="2">
        <v>682000017166138</v>
      </c>
      <c r="E752" t="s">
        <v>149</v>
      </c>
      <c r="F752" t="s">
        <v>128</v>
      </c>
      <c r="G752" s="2">
        <v>236999988555908</v>
      </c>
      <c r="H752">
        <v>0</v>
      </c>
      <c r="I752">
        <v>69</v>
      </c>
      <c r="J752">
        <v>39</v>
      </c>
      <c r="K752">
        <v>129</v>
      </c>
      <c r="L752">
        <v>706</v>
      </c>
      <c r="M752">
        <v>2752</v>
      </c>
      <c r="N752" t="str">
        <f t="shared" si="22"/>
        <v>Alta Actividad</v>
      </c>
      <c r="O752" t="str">
        <f t="shared" si="23"/>
        <v>Alto Sedentarismo</v>
      </c>
    </row>
    <row r="753" spans="1:15" x14ac:dyDescent="0.3">
      <c r="A753">
        <v>7086361926</v>
      </c>
      <c r="B753" t="s">
        <v>39</v>
      </c>
      <c r="C753">
        <v>10387</v>
      </c>
      <c r="D753" s="2">
        <v>707000017166138</v>
      </c>
      <c r="E753" s="2">
        <v>415999984741211</v>
      </c>
      <c r="F753" t="s">
        <v>99</v>
      </c>
      <c r="G753" s="2">
        <v>211999988555908</v>
      </c>
      <c r="H753">
        <v>0</v>
      </c>
      <c r="I753">
        <v>70</v>
      </c>
      <c r="J753">
        <v>33</v>
      </c>
      <c r="K753">
        <v>132</v>
      </c>
      <c r="L753">
        <v>726</v>
      </c>
      <c r="M753">
        <v>2781</v>
      </c>
      <c r="N753" t="str">
        <f t="shared" si="22"/>
        <v>Alta Actividad</v>
      </c>
      <c r="O753" t="str">
        <f t="shared" si="23"/>
        <v>Alto Sedentarismo</v>
      </c>
    </row>
    <row r="754" spans="1:15" x14ac:dyDescent="0.3">
      <c r="A754">
        <v>7086361926</v>
      </c>
      <c r="B754" t="s">
        <v>41</v>
      </c>
      <c r="C754">
        <v>11107</v>
      </c>
      <c r="D754" s="2">
        <v>834000015258789</v>
      </c>
      <c r="E754" s="2">
        <v>563000011444092</v>
      </c>
      <c r="F754" t="s">
        <v>98</v>
      </c>
      <c r="G754" s="2">
        <v>252999997138977</v>
      </c>
      <c r="H754">
        <v>0</v>
      </c>
      <c r="I754">
        <v>55</v>
      </c>
      <c r="J754">
        <v>6</v>
      </c>
      <c r="K754">
        <v>145</v>
      </c>
      <c r="L754">
        <v>829</v>
      </c>
      <c r="M754">
        <v>2693</v>
      </c>
      <c r="N754" t="str">
        <f t="shared" si="22"/>
        <v>Alta Actividad</v>
      </c>
      <c r="O754" t="str">
        <f t="shared" si="23"/>
        <v>Alto Sedentarismo</v>
      </c>
    </row>
    <row r="755" spans="1:15" x14ac:dyDescent="0.3">
      <c r="A755">
        <v>7086361926</v>
      </c>
      <c r="B755" t="s">
        <v>42</v>
      </c>
      <c r="C755">
        <v>11584</v>
      </c>
      <c r="D755" s="2">
        <v>780000019073486</v>
      </c>
      <c r="E755" s="2">
        <v>278999996185303</v>
      </c>
      <c r="F755" s="2">
        <v>163999998569489</v>
      </c>
      <c r="G755" s="2">
        <v>335999989509583</v>
      </c>
      <c r="H755">
        <v>0</v>
      </c>
      <c r="I755">
        <v>54</v>
      </c>
      <c r="J755">
        <v>48</v>
      </c>
      <c r="K755">
        <v>161</v>
      </c>
      <c r="L755">
        <v>810</v>
      </c>
      <c r="M755">
        <v>2862</v>
      </c>
      <c r="N755" t="str">
        <f t="shared" si="22"/>
        <v>Alta Actividad</v>
      </c>
      <c r="O755" t="str">
        <f t="shared" si="23"/>
        <v>Alto Sedentarismo</v>
      </c>
    </row>
    <row r="756" spans="1:15" x14ac:dyDescent="0.3">
      <c r="A756">
        <v>7086361926</v>
      </c>
      <c r="B756" t="s">
        <v>43</v>
      </c>
      <c r="C756">
        <v>7881</v>
      </c>
      <c r="D756" s="2">
        <v>494999980926514</v>
      </c>
      <c r="E756" t="s">
        <v>115</v>
      </c>
      <c r="F756" t="s">
        <v>130</v>
      </c>
      <c r="G756">
        <v>4</v>
      </c>
      <c r="H756">
        <v>0</v>
      </c>
      <c r="I756">
        <v>24</v>
      </c>
      <c r="J756">
        <v>36</v>
      </c>
      <c r="K756">
        <v>182</v>
      </c>
      <c r="L756">
        <v>1198</v>
      </c>
      <c r="M756">
        <v>2616</v>
      </c>
      <c r="N756" t="str">
        <f t="shared" si="22"/>
        <v>Baja Actividad</v>
      </c>
      <c r="O756" t="str">
        <f t="shared" si="23"/>
        <v>Alto Sedentarismo</v>
      </c>
    </row>
    <row r="757" spans="1:15" x14ac:dyDescent="0.3">
      <c r="A757">
        <v>7086361926</v>
      </c>
      <c r="B757" t="s">
        <v>45</v>
      </c>
      <c r="C757">
        <v>14560</v>
      </c>
      <c r="D757" s="2">
        <v>940999984741211</v>
      </c>
      <c r="E757" s="2">
        <v>311999988555908</v>
      </c>
      <c r="F757" s="2">
        <v>103999996185303</v>
      </c>
      <c r="G757" s="2">
        <v>523999977111816</v>
      </c>
      <c r="H757">
        <v>0</v>
      </c>
      <c r="I757">
        <v>42</v>
      </c>
      <c r="J757">
        <v>17</v>
      </c>
      <c r="K757">
        <v>308</v>
      </c>
      <c r="L757">
        <v>584</v>
      </c>
      <c r="M757">
        <v>2995</v>
      </c>
      <c r="N757" t="str">
        <f t="shared" si="22"/>
        <v>Alta Actividad</v>
      </c>
      <c r="O757" t="str">
        <f t="shared" si="23"/>
        <v>Bajo Sedentarismo</v>
      </c>
    </row>
    <row r="758" spans="1:15" x14ac:dyDescent="0.3">
      <c r="A758">
        <v>7086361926</v>
      </c>
      <c r="B758" s="1">
        <v>42374</v>
      </c>
      <c r="C758">
        <v>12390</v>
      </c>
      <c r="D758" s="2">
        <v>806999969482422</v>
      </c>
      <c r="E758" s="2">
        <v>229999995231628</v>
      </c>
      <c r="F758" t="s">
        <v>57</v>
      </c>
      <c r="G758" s="2">
        <v>484999990463257</v>
      </c>
      <c r="H758">
        <v>0</v>
      </c>
      <c r="I758">
        <v>30</v>
      </c>
      <c r="J758">
        <v>15</v>
      </c>
      <c r="K758">
        <v>258</v>
      </c>
      <c r="L758">
        <v>685</v>
      </c>
      <c r="M758">
        <v>2730</v>
      </c>
      <c r="N758" t="str">
        <f t="shared" si="22"/>
        <v>Alta Actividad</v>
      </c>
      <c r="O758" t="str">
        <f t="shared" si="23"/>
        <v>Bajo Sedentarismo</v>
      </c>
    </row>
    <row r="759" spans="1:15" x14ac:dyDescent="0.3">
      <c r="A759">
        <v>7086361926</v>
      </c>
      <c r="B759" s="1">
        <v>42405</v>
      </c>
      <c r="C759">
        <v>10052</v>
      </c>
      <c r="D759" s="2">
        <v>680999994277954</v>
      </c>
      <c r="E759" s="2">
        <v>348000001907349</v>
      </c>
      <c r="F759" t="s">
        <v>101</v>
      </c>
      <c r="G759" s="2">
        <v>266000008583069</v>
      </c>
      <c r="H759">
        <v>0</v>
      </c>
      <c r="I759">
        <v>66</v>
      </c>
      <c r="J759">
        <v>26</v>
      </c>
      <c r="K759">
        <v>139</v>
      </c>
      <c r="L759">
        <v>737</v>
      </c>
      <c r="M759">
        <v>2754</v>
      </c>
      <c r="N759" t="str">
        <f t="shared" si="22"/>
        <v>Alta Actividad</v>
      </c>
      <c r="O759" t="str">
        <f t="shared" si="23"/>
        <v>Alto Sedentarismo</v>
      </c>
    </row>
    <row r="760" spans="1:15" x14ac:dyDescent="0.3">
      <c r="A760">
        <v>7086361926</v>
      </c>
      <c r="B760" s="1">
        <v>42434</v>
      </c>
      <c r="C760">
        <v>10288</v>
      </c>
      <c r="D760" s="2">
        <v>676000022888184</v>
      </c>
      <c r="E760" s="2">
        <v>274000000953674</v>
      </c>
      <c r="F760" t="s">
        <v>144</v>
      </c>
      <c r="G760" s="2">
        <v>316000008583069</v>
      </c>
      <c r="H760">
        <v>0</v>
      </c>
      <c r="I760">
        <v>57</v>
      </c>
      <c r="J760">
        <v>36</v>
      </c>
      <c r="K760">
        <v>152</v>
      </c>
      <c r="L760">
        <v>761</v>
      </c>
      <c r="M760">
        <v>2754</v>
      </c>
      <c r="N760" t="str">
        <f t="shared" si="22"/>
        <v>Alta Actividad</v>
      </c>
      <c r="O760" t="str">
        <f t="shared" si="23"/>
        <v>Alto Sedentarismo</v>
      </c>
    </row>
    <row r="761" spans="1:15" x14ac:dyDescent="0.3">
      <c r="A761">
        <v>7086361926</v>
      </c>
      <c r="B761" s="1">
        <v>42465</v>
      </c>
      <c r="C761">
        <v>10988</v>
      </c>
      <c r="D761" s="2">
        <v>83100004196167</v>
      </c>
      <c r="E761" s="2">
        <v>528000020980835</v>
      </c>
      <c r="F761" t="s">
        <v>87</v>
      </c>
      <c r="G761" s="2">
        <v>290000009536743</v>
      </c>
      <c r="H761">
        <v>0</v>
      </c>
      <c r="I761">
        <v>45</v>
      </c>
      <c r="J761">
        <v>12</v>
      </c>
      <c r="K761">
        <v>135</v>
      </c>
      <c r="L761">
        <v>843</v>
      </c>
      <c r="M761">
        <v>2655</v>
      </c>
      <c r="N761" t="str">
        <f t="shared" si="22"/>
        <v>Alta Actividad</v>
      </c>
      <c r="O761" t="str">
        <f t="shared" si="23"/>
        <v>Alto Sedentarismo</v>
      </c>
    </row>
    <row r="762" spans="1:15" x14ac:dyDescent="0.3">
      <c r="A762">
        <v>7086361926</v>
      </c>
      <c r="B762" s="1">
        <v>42495</v>
      </c>
      <c r="C762">
        <v>8564</v>
      </c>
      <c r="D762" s="2">
        <v>559999990463257</v>
      </c>
      <c r="E762" s="2">
        <v>177999997138977</v>
      </c>
      <c r="F762" t="s">
        <v>95</v>
      </c>
      <c r="G762" s="2">
        <v>295000004768372</v>
      </c>
      <c r="H762">
        <v>0</v>
      </c>
      <c r="I762">
        <v>24</v>
      </c>
      <c r="J762">
        <v>14</v>
      </c>
      <c r="K762">
        <v>149</v>
      </c>
      <c r="L762">
        <v>1253</v>
      </c>
      <c r="M762">
        <v>2386</v>
      </c>
      <c r="N762" t="str">
        <f t="shared" si="22"/>
        <v>Baja Actividad</v>
      </c>
      <c r="O762" t="str">
        <f t="shared" si="23"/>
        <v>Alto Sedentarismo</v>
      </c>
    </row>
    <row r="763" spans="1:15" x14ac:dyDescent="0.3">
      <c r="A763">
        <v>7086361926</v>
      </c>
      <c r="B763" s="1">
        <v>42526</v>
      </c>
      <c r="C763">
        <v>12461</v>
      </c>
      <c r="D763" s="2">
        <v>838000011444092</v>
      </c>
      <c r="E763" s="2">
        <v>38199999332428</v>
      </c>
      <c r="F763" s="2">
        <v>142999994754791</v>
      </c>
      <c r="G763" s="2">
        <v>311999988555908</v>
      </c>
      <c r="H763">
        <v>0</v>
      </c>
      <c r="I763">
        <v>84</v>
      </c>
      <c r="J763">
        <v>35</v>
      </c>
      <c r="K763">
        <v>154</v>
      </c>
      <c r="L763">
        <v>834</v>
      </c>
      <c r="M763">
        <v>2924</v>
      </c>
      <c r="N763" t="str">
        <f t="shared" si="22"/>
        <v>Alta Actividad</v>
      </c>
      <c r="O763" t="str">
        <f t="shared" si="23"/>
        <v>Alto Sedentarismo</v>
      </c>
    </row>
    <row r="764" spans="1:15" x14ac:dyDescent="0.3">
      <c r="A764">
        <v>7086361926</v>
      </c>
      <c r="B764" s="1">
        <v>42556</v>
      </c>
      <c r="C764">
        <v>12827</v>
      </c>
      <c r="D764" s="2">
        <v>847999954223633</v>
      </c>
      <c r="E764" s="2">
        <v>146000003814697</v>
      </c>
      <c r="F764" s="2">
        <v>232999992370605</v>
      </c>
      <c r="G764" s="2">
        <v>467999982833862</v>
      </c>
      <c r="H764">
        <v>0</v>
      </c>
      <c r="I764">
        <v>20</v>
      </c>
      <c r="J764">
        <v>42</v>
      </c>
      <c r="K764">
        <v>209</v>
      </c>
      <c r="L764">
        <v>621</v>
      </c>
      <c r="M764">
        <v>2739</v>
      </c>
      <c r="N764" t="str">
        <f t="shared" si="22"/>
        <v>Alta Actividad</v>
      </c>
      <c r="O764" t="str">
        <f t="shared" si="23"/>
        <v>Bajo Sedentarismo</v>
      </c>
    </row>
    <row r="765" spans="1:15" x14ac:dyDescent="0.3">
      <c r="A765">
        <v>7086361926</v>
      </c>
      <c r="B765" s="1">
        <v>42587</v>
      </c>
      <c r="C765">
        <v>10677</v>
      </c>
      <c r="D765" s="2">
        <v>709999990463257</v>
      </c>
      <c r="E765" s="2">
        <v>230999994277954</v>
      </c>
      <c r="F765" s="2">
        <v>152999997138977</v>
      </c>
      <c r="G765" t="s">
        <v>25</v>
      </c>
      <c r="H765">
        <v>0</v>
      </c>
      <c r="I765">
        <v>32</v>
      </c>
      <c r="J765">
        <v>27</v>
      </c>
      <c r="K765">
        <v>147</v>
      </c>
      <c r="L765">
        <v>695</v>
      </c>
      <c r="M765">
        <v>2534</v>
      </c>
      <c r="N765" t="str">
        <f t="shared" si="22"/>
        <v>Alta Actividad</v>
      </c>
      <c r="O765" t="str">
        <f t="shared" si="23"/>
        <v>Bajo Sedentarismo</v>
      </c>
    </row>
    <row r="766" spans="1:15" x14ac:dyDescent="0.3">
      <c r="A766">
        <v>7086361926</v>
      </c>
      <c r="B766" s="1">
        <v>42618</v>
      </c>
      <c r="C766">
        <v>13566</v>
      </c>
      <c r="D766" s="2">
        <v>910999965667725</v>
      </c>
      <c r="E766" s="2">
        <v>426000022888184</v>
      </c>
      <c r="F766" s="2">
        <v>171000003814697</v>
      </c>
      <c r="G766" s="2">
        <v>311999988555908</v>
      </c>
      <c r="H766">
        <v>0</v>
      </c>
      <c r="I766">
        <v>67</v>
      </c>
      <c r="J766">
        <v>50</v>
      </c>
      <c r="K766">
        <v>171</v>
      </c>
      <c r="L766">
        <v>743</v>
      </c>
      <c r="M766">
        <v>2960</v>
      </c>
      <c r="N766" t="str">
        <f t="shared" si="22"/>
        <v>Alta Actividad</v>
      </c>
      <c r="O766" t="str">
        <f t="shared" si="23"/>
        <v>Alto Sedentarismo</v>
      </c>
    </row>
    <row r="767" spans="1:15" x14ac:dyDescent="0.3">
      <c r="A767">
        <v>7086361926</v>
      </c>
      <c r="B767" s="1">
        <v>42648</v>
      </c>
      <c r="C767">
        <v>14433</v>
      </c>
      <c r="D767" s="2">
        <v>10789999961853</v>
      </c>
      <c r="E767" s="2">
        <v>71100001335144</v>
      </c>
      <c r="F767" s="2">
        <v>120000004768372</v>
      </c>
      <c r="G767" s="2">
        <v>245000004768372</v>
      </c>
      <c r="H767">
        <v>0</v>
      </c>
      <c r="I767">
        <v>72</v>
      </c>
      <c r="J767">
        <v>23</v>
      </c>
      <c r="K767">
        <v>106</v>
      </c>
      <c r="L767">
        <v>1182</v>
      </c>
      <c r="M767">
        <v>2800</v>
      </c>
      <c r="N767" t="str">
        <f t="shared" si="22"/>
        <v>Alta Actividad</v>
      </c>
      <c r="O767" t="str">
        <f t="shared" si="23"/>
        <v>Alto Sedentarismo</v>
      </c>
    </row>
    <row r="768" spans="1:15" x14ac:dyDescent="0.3">
      <c r="A768">
        <v>7086361926</v>
      </c>
      <c r="B768" s="1">
        <v>42679</v>
      </c>
      <c r="C768">
        <v>9572</v>
      </c>
      <c r="D768" s="2">
        <v>651999998092651</v>
      </c>
      <c r="E768" s="2">
        <v>289000010490417</v>
      </c>
      <c r="F768" s="2">
        <v>138999998569489</v>
      </c>
      <c r="G768" s="2">
        <v>223000001907349</v>
      </c>
      <c r="H768">
        <v>0</v>
      </c>
      <c r="I768">
        <v>57</v>
      </c>
      <c r="J768">
        <v>40</v>
      </c>
      <c r="K768">
        <v>128</v>
      </c>
      <c r="L768">
        <v>757</v>
      </c>
      <c r="M768">
        <v>2735</v>
      </c>
      <c r="N768" t="str">
        <f t="shared" si="22"/>
        <v>Baja Actividad</v>
      </c>
      <c r="O768" t="str">
        <f t="shared" si="23"/>
        <v>Alto Sedentarismo</v>
      </c>
    </row>
    <row r="769" spans="1:15" x14ac:dyDescent="0.3">
      <c r="A769">
        <v>7086361926</v>
      </c>
      <c r="B769" s="1">
        <v>42709</v>
      </c>
      <c r="C769">
        <v>3789</v>
      </c>
      <c r="D769" s="2">
        <v>255999994277954</v>
      </c>
      <c r="E769" t="s">
        <v>114</v>
      </c>
      <c r="F769" t="s">
        <v>80</v>
      </c>
      <c r="G769" s="2">
        <v>188999998569489</v>
      </c>
      <c r="H769">
        <v>0</v>
      </c>
      <c r="I769">
        <v>5</v>
      </c>
      <c r="J769">
        <v>4</v>
      </c>
      <c r="K769">
        <v>58</v>
      </c>
      <c r="L769">
        <v>343</v>
      </c>
      <c r="M769">
        <v>1199</v>
      </c>
      <c r="N769" t="str">
        <f t="shared" si="22"/>
        <v>Baja Actividad</v>
      </c>
      <c r="O769" t="str">
        <f t="shared" si="23"/>
        <v>Bajo Sedentarismo</v>
      </c>
    </row>
    <row r="770" spans="1:15" x14ac:dyDescent="0.3">
      <c r="A770">
        <v>8053475328</v>
      </c>
      <c r="B770" s="1">
        <v>42708</v>
      </c>
      <c r="C770">
        <v>18060</v>
      </c>
      <c r="D770" s="2">
        <v>141199998855591</v>
      </c>
      <c r="E770" s="2">
        <v>116400003433228</v>
      </c>
      <c r="F770" t="s">
        <v>118</v>
      </c>
      <c r="G770" s="2">
        <v>209999990463257</v>
      </c>
      <c r="H770">
        <v>0</v>
      </c>
      <c r="I770">
        <v>116</v>
      </c>
      <c r="J770">
        <v>8</v>
      </c>
      <c r="K770">
        <v>123</v>
      </c>
      <c r="L770">
        <v>1193</v>
      </c>
      <c r="M770">
        <v>3186</v>
      </c>
      <c r="N770" t="str">
        <f t="shared" si="22"/>
        <v>Alta Actividad</v>
      </c>
      <c r="O770" t="str">
        <f t="shared" si="23"/>
        <v>Alto Sedentarismo</v>
      </c>
    </row>
    <row r="771" spans="1:15" x14ac:dyDescent="0.3">
      <c r="A771">
        <v>8053475328</v>
      </c>
      <c r="B771" t="s">
        <v>15</v>
      </c>
      <c r="C771">
        <v>16433</v>
      </c>
      <c r="D771" s="2">
        <v>133500003814697</v>
      </c>
      <c r="E771" s="2">
        <v>104300003051758</v>
      </c>
      <c r="F771" t="s">
        <v>89</v>
      </c>
      <c r="G771" s="2">
        <v>245000004768372</v>
      </c>
      <c r="H771">
        <v>0</v>
      </c>
      <c r="I771">
        <v>95</v>
      </c>
      <c r="J771">
        <v>12</v>
      </c>
      <c r="K771">
        <v>156</v>
      </c>
      <c r="L771">
        <v>1177</v>
      </c>
      <c r="M771">
        <v>3140</v>
      </c>
      <c r="N771" t="str">
        <f t="shared" ref="N771:N834" si="24">IF(C771&gt;=10000, "Alta Actividad", "Baja Actividad")</f>
        <v>Alta Actividad</v>
      </c>
      <c r="O771" t="str">
        <f t="shared" ref="O771:O834" si="25">IF(L771&gt;=700, "Alto Sedentarismo",  "Bajo Sedentarismo")</f>
        <v>Alto Sedentarismo</v>
      </c>
    </row>
    <row r="772" spans="1:15" x14ac:dyDescent="0.3">
      <c r="A772">
        <v>8053475328</v>
      </c>
      <c r="B772" t="s">
        <v>17</v>
      </c>
      <c r="C772">
        <v>20159</v>
      </c>
      <c r="D772" s="2">
        <v>159700002670288</v>
      </c>
      <c r="E772" s="2">
        <v>123400001525879</v>
      </c>
      <c r="F772" t="s">
        <v>36</v>
      </c>
      <c r="G772" s="2">
        <v>335999989509583</v>
      </c>
      <c r="H772">
        <v>0</v>
      </c>
      <c r="I772">
        <v>119</v>
      </c>
      <c r="J772">
        <v>5</v>
      </c>
      <c r="K772">
        <v>193</v>
      </c>
      <c r="L772">
        <v>1123</v>
      </c>
      <c r="M772">
        <v>3411</v>
      </c>
      <c r="N772" t="str">
        <f t="shared" si="24"/>
        <v>Alta Actividad</v>
      </c>
      <c r="O772" t="str">
        <f t="shared" si="25"/>
        <v>Alto Sedentarismo</v>
      </c>
    </row>
    <row r="773" spans="1:15" x14ac:dyDescent="0.3">
      <c r="A773">
        <v>8053475328</v>
      </c>
      <c r="B773" t="s">
        <v>19</v>
      </c>
      <c r="C773">
        <v>20669</v>
      </c>
      <c r="D773" s="2">
        <v>162399997711182</v>
      </c>
      <c r="E773" s="2">
        <v>132600002288818</v>
      </c>
      <c r="F773" t="s">
        <v>118</v>
      </c>
      <c r="G773" s="2">
        <v>258999991416931</v>
      </c>
      <c r="H773">
        <v>0</v>
      </c>
      <c r="I773">
        <v>132</v>
      </c>
      <c r="J773">
        <v>8</v>
      </c>
      <c r="K773">
        <v>158</v>
      </c>
      <c r="L773">
        <v>1142</v>
      </c>
      <c r="M773">
        <v>3410</v>
      </c>
      <c r="N773" t="str">
        <f t="shared" si="24"/>
        <v>Alta Actividad</v>
      </c>
      <c r="O773" t="str">
        <f t="shared" si="25"/>
        <v>Alto Sedentarismo</v>
      </c>
    </row>
    <row r="774" spans="1:15" x14ac:dyDescent="0.3">
      <c r="A774">
        <v>8053475328</v>
      </c>
      <c r="B774" t="s">
        <v>20</v>
      </c>
      <c r="C774">
        <v>14549</v>
      </c>
      <c r="D774" s="2">
        <v>111099996566772</v>
      </c>
      <c r="E774" s="2">
        <v>935999965667725</v>
      </c>
      <c r="F774" t="s">
        <v>80</v>
      </c>
      <c r="G774" s="2">
        <v>149000000953674</v>
      </c>
      <c r="H774">
        <v>0</v>
      </c>
      <c r="I774">
        <v>96</v>
      </c>
      <c r="J774">
        <v>6</v>
      </c>
      <c r="K774">
        <v>83</v>
      </c>
      <c r="L774">
        <v>1255</v>
      </c>
      <c r="M774">
        <v>2867</v>
      </c>
      <c r="N774" t="str">
        <f t="shared" si="24"/>
        <v>Alta Actividad</v>
      </c>
      <c r="O774" t="str">
        <f t="shared" si="25"/>
        <v>Alto Sedentarismo</v>
      </c>
    </row>
    <row r="775" spans="1:15" x14ac:dyDescent="0.3">
      <c r="A775">
        <v>8053475328</v>
      </c>
      <c r="B775" t="s">
        <v>22</v>
      </c>
      <c r="C775">
        <v>18827</v>
      </c>
      <c r="D775" s="2">
        <v>136899995803833</v>
      </c>
      <c r="E775" s="2">
        <v>923999977111816</v>
      </c>
      <c r="F775" t="s">
        <v>70</v>
      </c>
      <c r="G775" s="2">
        <v>364000010490417</v>
      </c>
      <c r="H775">
        <v>0</v>
      </c>
      <c r="I775">
        <v>111</v>
      </c>
      <c r="J775">
        <v>21</v>
      </c>
      <c r="K775">
        <v>195</v>
      </c>
      <c r="L775">
        <v>1113</v>
      </c>
      <c r="M775">
        <v>3213</v>
      </c>
      <c r="N775" t="str">
        <f t="shared" si="24"/>
        <v>Alta Actividad</v>
      </c>
      <c r="O775" t="str">
        <f t="shared" si="25"/>
        <v>Alto Sedentarismo</v>
      </c>
    </row>
    <row r="776" spans="1:15" x14ac:dyDescent="0.3">
      <c r="A776">
        <v>8053475328</v>
      </c>
      <c r="B776" t="s">
        <v>24</v>
      </c>
      <c r="C776">
        <v>17076</v>
      </c>
      <c r="D776" s="2">
        <v>126599998474121</v>
      </c>
      <c r="E776" s="2">
        <v>907999992370605</v>
      </c>
      <c r="F776" t="s">
        <v>116</v>
      </c>
      <c r="G776" s="2">
        <v>334999990463257</v>
      </c>
      <c r="H776">
        <v>0</v>
      </c>
      <c r="I776">
        <v>102</v>
      </c>
      <c r="J776">
        <v>6</v>
      </c>
      <c r="K776">
        <v>195</v>
      </c>
      <c r="L776">
        <v>1137</v>
      </c>
      <c r="M776">
        <v>3133</v>
      </c>
      <c r="N776" t="str">
        <f t="shared" si="24"/>
        <v>Alta Actividad</v>
      </c>
      <c r="O776" t="str">
        <f t="shared" si="25"/>
        <v>Alto Sedentarismo</v>
      </c>
    </row>
    <row r="777" spans="1:15" x14ac:dyDescent="0.3">
      <c r="A777">
        <v>8053475328</v>
      </c>
      <c r="B777" t="s">
        <v>27</v>
      </c>
      <c r="C777">
        <v>15929</v>
      </c>
      <c r="D777" s="2">
        <v>124799995422363</v>
      </c>
      <c r="E777" s="2">
        <v>922000026702881</v>
      </c>
      <c r="F777" t="s">
        <v>75</v>
      </c>
      <c r="G777" s="2">
        <v>295000004768372</v>
      </c>
      <c r="H777">
        <v>0</v>
      </c>
      <c r="I777">
        <v>90</v>
      </c>
      <c r="J777">
        <v>7</v>
      </c>
      <c r="K777">
        <v>191</v>
      </c>
      <c r="L777">
        <v>1152</v>
      </c>
      <c r="M777">
        <v>3114</v>
      </c>
      <c r="N777" t="str">
        <f t="shared" si="24"/>
        <v>Alta Actividad</v>
      </c>
      <c r="O777" t="str">
        <f t="shared" si="25"/>
        <v>Alto Sedentarismo</v>
      </c>
    </row>
    <row r="778" spans="1:15" x14ac:dyDescent="0.3">
      <c r="A778">
        <v>8053475328</v>
      </c>
      <c r="B778" t="s">
        <v>28</v>
      </c>
      <c r="C778">
        <v>15108</v>
      </c>
      <c r="D778" s="2">
        <v>121899995803833</v>
      </c>
      <c r="E778" s="2">
        <v>957999992370605</v>
      </c>
      <c r="F778" t="s">
        <v>116</v>
      </c>
      <c r="G778" s="2">
        <v>238000011444092</v>
      </c>
      <c r="H778">
        <v>0</v>
      </c>
      <c r="I778">
        <v>89</v>
      </c>
      <c r="J778">
        <v>5</v>
      </c>
      <c r="K778">
        <v>158</v>
      </c>
      <c r="L778">
        <v>695</v>
      </c>
      <c r="M778">
        <v>3043</v>
      </c>
      <c r="N778" t="str">
        <f t="shared" si="24"/>
        <v>Alta Actividad</v>
      </c>
      <c r="O778" t="str">
        <f t="shared" si="25"/>
        <v>Bajo Sedentarismo</v>
      </c>
    </row>
    <row r="779" spans="1:15" x14ac:dyDescent="0.3">
      <c r="A779">
        <v>8053475328</v>
      </c>
      <c r="B779" t="s">
        <v>30</v>
      </c>
      <c r="C779">
        <v>16057</v>
      </c>
      <c r="D779" s="2">
        <v>125100002288818</v>
      </c>
      <c r="E779" s="2">
        <v>967000007629395</v>
      </c>
      <c r="F779" t="s">
        <v>47</v>
      </c>
      <c r="G779" s="2">
        <v>257999992370605</v>
      </c>
      <c r="H779">
        <v>0</v>
      </c>
      <c r="I779">
        <v>100</v>
      </c>
      <c r="J779">
        <v>6</v>
      </c>
      <c r="K779">
        <v>170</v>
      </c>
      <c r="L779">
        <v>1164</v>
      </c>
      <c r="M779">
        <v>3103</v>
      </c>
      <c r="N779" t="str">
        <f t="shared" si="24"/>
        <v>Alta Actividad</v>
      </c>
      <c r="O779" t="str">
        <f t="shared" si="25"/>
        <v>Alto Sedentarismo</v>
      </c>
    </row>
    <row r="780" spans="1:15" x14ac:dyDescent="0.3">
      <c r="A780">
        <v>8053475328</v>
      </c>
      <c r="B780" t="s">
        <v>32</v>
      </c>
      <c r="C780">
        <v>10520</v>
      </c>
      <c r="D780" s="2">
        <v>828999996185303</v>
      </c>
      <c r="E780" s="2">
        <v>626000022888184</v>
      </c>
      <c r="F780" t="s">
        <v>63</v>
      </c>
      <c r="G780" s="2">
        <v>187999999523163</v>
      </c>
      <c r="H780">
        <v>0</v>
      </c>
      <c r="I780">
        <v>60</v>
      </c>
      <c r="J780">
        <v>3</v>
      </c>
      <c r="K780">
        <v>117</v>
      </c>
      <c r="L780">
        <v>1260</v>
      </c>
      <c r="M780">
        <v>2655</v>
      </c>
      <c r="N780" t="str">
        <f t="shared" si="24"/>
        <v>Alta Actividad</v>
      </c>
      <c r="O780" t="str">
        <f t="shared" si="25"/>
        <v>Alto Sedentarismo</v>
      </c>
    </row>
    <row r="781" spans="1:15" x14ac:dyDescent="0.3">
      <c r="A781">
        <v>8053475328</v>
      </c>
      <c r="B781" t="s">
        <v>33</v>
      </c>
      <c r="C781">
        <v>22359</v>
      </c>
      <c r="D781" s="2">
        <v>171900005340576</v>
      </c>
      <c r="E781" s="2">
        <v>12539999961853</v>
      </c>
      <c r="F781" t="s">
        <v>71</v>
      </c>
      <c r="G781" s="2">
        <v>401999998092651</v>
      </c>
      <c r="H781">
        <v>0</v>
      </c>
      <c r="I781">
        <v>125</v>
      </c>
      <c r="J781">
        <v>14</v>
      </c>
      <c r="K781">
        <v>223</v>
      </c>
      <c r="L781">
        <v>741</v>
      </c>
      <c r="M781">
        <v>3554</v>
      </c>
      <c r="N781" t="str">
        <f t="shared" si="24"/>
        <v>Alta Actividad</v>
      </c>
      <c r="O781" t="str">
        <f t="shared" si="25"/>
        <v>Alto Sedentarismo</v>
      </c>
    </row>
    <row r="782" spans="1:15" x14ac:dyDescent="0.3">
      <c r="A782">
        <v>8053475328</v>
      </c>
      <c r="B782" t="s">
        <v>35</v>
      </c>
      <c r="C782">
        <v>22988</v>
      </c>
      <c r="D782" s="2">
        <v>179500007629395</v>
      </c>
      <c r="E782" s="2">
        <v>131300001144409</v>
      </c>
      <c r="F782" s="2">
        <v>154999995231628</v>
      </c>
      <c r="G782" s="2">
        <v>325999999046326</v>
      </c>
      <c r="H782">
        <v>0</v>
      </c>
      <c r="I782">
        <v>129</v>
      </c>
      <c r="J782">
        <v>33</v>
      </c>
      <c r="K782">
        <v>182</v>
      </c>
      <c r="L782">
        <v>1096</v>
      </c>
      <c r="M782">
        <v>3577</v>
      </c>
      <c r="N782" t="str">
        <f t="shared" si="24"/>
        <v>Alta Actividad</v>
      </c>
      <c r="O782" t="str">
        <f t="shared" si="25"/>
        <v>Alto Sedentarismo</v>
      </c>
    </row>
    <row r="783" spans="1:15" x14ac:dyDescent="0.3">
      <c r="A783">
        <v>8053475328</v>
      </c>
      <c r="B783" t="s">
        <v>37</v>
      </c>
      <c r="C783">
        <v>20500</v>
      </c>
      <c r="D783" s="2">
        <v>156899995803833</v>
      </c>
      <c r="E783" s="2">
        <v>113699998855591</v>
      </c>
      <c r="F783" t="s">
        <v>108</v>
      </c>
      <c r="G783" s="2">
        <v>385999989509583</v>
      </c>
      <c r="H783">
        <v>0</v>
      </c>
      <c r="I783">
        <v>118</v>
      </c>
      <c r="J783">
        <v>9</v>
      </c>
      <c r="K783">
        <v>209</v>
      </c>
      <c r="L783">
        <v>1104</v>
      </c>
      <c r="M783">
        <v>3403</v>
      </c>
      <c r="N783" t="str">
        <f t="shared" si="24"/>
        <v>Alta Actividad</v>
      </c>
      <c r="O783" t="str">
        <f t="shared" si="25"/>
        <v>Alto Sedentarismo</v>
      </c>
    </row>
    <row r="784" spans="1:15" x14ac:dyDescent="0.3">
      <c r="A784">
        <v>8053475328</v>
      </c>
      <c r="B784" t="s">
        <v>39</v>
      </c>
      <c r="C784">
        <v>12685</v>
      </c>
      <c r="D784" s="2">
        <v>961999988555908</v>
      </c>
      <c r="E784" s="2">
        <v>630999994277954</v>
      </c>
      <c r="F784" t="s">
        <v>56</v>
      </c>
      <c r="G784" s="2">
        <v>309999990463257</v>
      </c>
      <c r="H784">
        <v>0</v>
      </c>
      <c r="I784">
        <v>68</v>
      </c>
      <c r="J784">
        <v>5</v>
      </c>
      <c r="K784">
        <v>185</v>
      </c>
      <c r="L784">
        <v>1182</v>
      </c>
      <c r="M784">
        <v>2846</v>
      </c>
      <c r="N784" t="str">
        <f t="shared" si="24"/>
        <v>Alta Actividad</v>
      </c>
      <c r="O784" t="str">
        <f t="shared" si="25"/>
        <v>Alto Sedentarismo</v>
      </c>
    </row>
    <row r="785" spans="1:15" x14ac:dyDescent="0.3">
      <c r="A785">
        <v>8053475328</v>
      </c>
      <c r="B785" t="s">
        <v>41</v>
      </c>
      <c r="C785">
        <v>12422</v>
      </c>
      <c r="D785" s="2">
        <v>981999969482422</v>
      </c>
      <c r="E785" s="2">
        <v>646000003814697</v>
      </c>
      <c r="F785" t="s">
        <v>129</v>
      </c>
      <c r="G785" s="2">
        <v>29300000667572</v>
      </c>
      <c r="H785">
        <v>0</v>
      </c>
      <c r="I785">
        <v>60</v>
      </c>
      <c r="J785">
        <v>10</v>
      </c>
      <c r="K785">
        <v>183</v>
      </c>
      <c r="L785">
        <v>1187</v>
      </c>
      <c r="M785">
        <v>2852</v>
      </c>
      <c r="N785" t="str">
        <f t="shared" si="24"/>
        <v>Alta Actividad</v>
      </c>
      <c r="O785" t="str">
        <f t="shared" si="25"/>
        <v>Alto Sedentarismo</v>
      </c>
    </row>
    <row r="786" spans="1:15" x14ac:dyDescent="0.3">
      <c r="A786">
        <v>8053475328</v>
      </c>
      <c r="B786" t="s">
        <v>42</v>
      </c>
      <c r="C786">
        <v>15447</v>
      </c>
      <c r="D786" s="2">
        <v>123999996185303</v>
      </c>
      <c r="E786" s="2">
        <v>967000007629395</v>
      </c>
      <c r="F786" t="s">
        <v>118</v>
      </c>
      <c r="G786" s="2">
        <v>234999990463257</v>
      </c>
      <c r="H786">
        <v>0</v>
      </c>
      <c r="I786">
        <v>90</v>
      </c>
      <c r="J786">
        <v>9</v>
      </c>
      <c r="K786">
        <v>153</v>
      </c>
      <c r="L786">
        <v>1188</v>
      </c>
      <c r="M786">
        <v>3062</v>
      </c>
      <c r="N786" t="str">
        <f t="shared" si="24"/>
        <v>Alta Actividad</v>
      </c>
      <c r="O786" t="str">
        <f t="shared" si="25"/>
        <v>Alto Sedentarismo</v>
      </c>
    </row>
    <row r="787" spans="1:15" x14ac:dyDescent="0.3">
      <c r="A787">
        <v>8053475328</v>
      </c>
      <c r="B787" t="s">
        <v>43</v>
      </c>
      <c r="C787">
        <v>12315</v>
      </c>
      <c r="D787" s="2">
        <v>964999961853027</v>
      </c>
      <c r="E787" s="2">
        <v>617000007629395</v>
      </c>
      <c r="F787" t="s">
        <v>75</v>
      </c>
      <c r="G787" s="2">
        <v>317000007629395</v>
      </c>
      <c r="H787">
        <v>0</v>
      </c>
      <c r="I787">
        <v>58</v>
      </c>
      <c r="J787">
        <v>8</v>
      </c>
      <c r="K787">
        <v>159</v>
      </c>
      <c r="L787">
        <v>1215</v>
      </c>
      <c r="M787">
        <v>2794</v>
      </c>
      <c r="N787" t="str">
        <f t="shared" si="24"/>
        <v>Alta Actividad</v>
      </c>
      <c r="O787" t="str">
        <f t="shared" si="25"/>
        <v>Alto Sedentarismo</v>
      </c>
    </row>
    <row r="788" spans="1:15" x14ac:dyDescent="0.3">
      <c r="A788">
        <v>8053475328</v>
      </c>
      <c r="B788" t="s">
        <v>45</v>
      </c>
      <c r="C788">
        <v>7135</v>
      </c>
      <c r="D788" s="2">
        <v>559000015258789</v>
      </c>
      <c r="E788" s="2">
        <v>299000000953674</v>
      </c>
      <c r="F788" t="s">
        <v>69</v>
      </c>
      <c r="G788" s="2">
        <v>253999996185303</v>
      </c>
      <c r="H788">
        <v>0</v>
      </c>
      <c r="I788">
        <v>27</v>
      </c>
      <c r="J788">
        <v>1</v>
      </c>
      <c r="K788">
        <v>131</v>
      </c>
      <c r="L788">
        <v>1281</v>
      </c>
      <c r="M788">
        <v>2408</v>
      </c>
      <c r="N788" t="str">
        <f t="shared" si="24"/>
        <v>Baja Actividad</v>
      </c>
      <c r="O788" t="str">
        <f t="shared" si="25"/>
        <v>Alto Sedentarismo</v>
      </c>
    </row>
    <row r="789" spans="1:15" x14ac:dyDescent="0.3">
      <c r="A789">
        <v>8053475328</v>
      </c>
      <c r="B789" s="1">
        <v>42374</v>
      </c>
      <c r="C789">
        <v>1170</v>
      </c>
      <c r="D789" t="s">
        <v>144</v>
      </c>
      <c r="E789">
        <v>0</v>
      </c>
      <c r="F789">
        <v>0</v>
      </c>
      <c r="G789" t="s">
        <v>144</v>
      </c>
      <c r="H789">
        <v>0</v>
      </c>
      <c r="I789">
        <v>0</v>
      </c>
      <c r="J789">
        <v>0</v>
      </c>
      <c r="K789">
        <v>51</v>
      </c>
      <c r="L789">
        <v>1389</v>
      </c>
      <c r="M789">
        <v>1886</v>
      </c>
      <c r="N789" t="str">
        <f t="shared" si="24"/>
        <v>Baja Actividad</v>
      </c>
      <c r="O789" t="str">
        <f t="shared" si="25"/>
        <v>Alto Sedentarismo</v>
      </c>
    </row>
    <row r="790" spans="1:15" x14ac:dyDescent="0.3">
      <c r="A790">
        <v>8053475328</v>
      </c>
      <c r="B790" s="1">
        <v>42405</v>
      </c>
      <c r="C790">
        <v>1969</v>
      </c>
      <c r="D790" s="2">
        <v>142999994754791</v>
      </c>
      <c r="E790">
        <v>0</v>
      </c>
      <c r="F790">
        <v>0</v>
      </c>
      <c r="G790" s="2">
        <v>142999994754791</v>
      </c>
      <c r="H790">
        <v>0</v>
      </c>
      <c r="I790">
        <v>0</v>
      </c>
      <c r="J790">
        <v>0</v>
      </c>
      <c r="K790">
        <v>95</v>
      </c>
      <c r="L790">
        <v>1345</v>
      </c>
      <c r="M790">
        <v>1988</v>
      </c>
      <c r="N790" t="str">
        <f t="shared" si="24"/>
        <v>Baja Actividad</v>
      </c>
      <c r="O790" t="str">
        <f t="shared" si="25"/>
        <v>Alto Sedentarismo</v>
      </c>
    </row>
    <row r="791" spans="1:15" x14ac:dyDescent="0.3">
      <c r="A791">
        <v>8053475328</v>
      </c>
      <c r="B791" s="1">
        <v>42434</v>
      </c>
      <c r="C791">
        <v>15484</v>
      </c>
      <c r="D791" s="2">
        <v>118999996185303</v>
      </c>
      <c r="E791" s="2">
        <v>839000034332275</v>
      </c>
      <c r="F791" t="s">
        <v>109</v>
      </c>
      <c r="G791" s="2">
        <v>258999991416931</v>
      </c>
      <c r="H791">
        <v>0</v>
      </c>
      <c r="I791">
        <v>87</v>
      </c>
      <c r="J791">
        <v>22</v>
      </c>
      <c r="K791">
        <v>165</v>
      </c>
      <c r="L791">
        <v>1166</v>
      </c>
      <c r="M791">
        <v>3023</v>
      </c>
      <c r="N791" t="str">
        <f t="shared" si="24"/>
        <v>Alta Actividad</v>
      </c>
      <c r="O791" t="str">
        <f t="shared" si="25"/>
        <v>Alto Sedentarismo</v>
      </c>
    </row>
    <row r="792" spans="1:15" x14ac:dyDescent="0.3">
      <c r="A792">
        <v>8053475328</v>
      </c>
      <c r="B792" s="1">
        <v>42465</v>
      </c>
      <c r="C792">
        <v>14581</v>
      </c>
      <c r="D792" s="2">
        <v>111499996185303</v>
      </c>
      <c r="E792" s="2">
        <v>881999969482422</v>
      </c>
      <c r="F792" t="s">
        <v>18</v>
      </c>
      <c r="G792" s="2">
        <v>19099999666214</v>
      </c>
      <c r="H792">
        <v>0</v>
      </c>
      <c r="I792">
        <v>89</v>
      </c>
      <c r="J792">
        <v>8</v>
      </c>
      <c r="K792">
        <v>123</v>
      </c>
      <c r="L792">
        <v>1220</v>
      </c>
      <c r="M792">
        <v>2918</v>
      </c>
      <c r="N792" t="str">
        <f t="shared" si="24"/>
        <v>Alta Actividad</v>
      </c>
      <c r="O792" t="str">
        <f t="shared" si="25"/>
        <v>Alto Sedentarismo</v>
      </c>
    </row>
    <row r="793" spans="1:15" x14ac:dyDescent="0.3">
      <c r="A793">
        <v>8053475328</v>
      </c>
      <c r="B793" s="1">
        <v>42495</v>
      </c>
      <c r="C793">
        <v>14990</v>
      </c>
      <c r="D793" s="2">
        <v>115100002288818</v>
      </c>
      <c r="E793" s="2">
        <v>885000038146973</v>
      </c>
      <c r="F793" t="s">
        <v>130</v>
      </c>
      <c r="G793" s="2">
        <v>221000003814697</v>
      </c>
      <c r="H793">
        <v>0</v>
      </c>
      <c r="I793">
        <v>93</v>
      </c>
      <c r="J793">
        <v>9</v>
      </c>
      <c r="K793">
        <v>130</v>
      </c>
      <c r="L793">
        <v>1208</v>
      </c>
      <c r="M793">
        <v>2950</v>
      </c>
      <c r="N793" t="str">
        <f t="shared" si="24"/>
        <v>Alta Actividad</v>
      </c>
      <c r="O793" t="str">
        <f t="shared" si="25"/>
        <v>Alto Sedentarismo</v>
      </c>
    </row>
    <row r="794" spans="1:15" x14ac:dyDescent="0.3">
      <c r="A794">
        <v>8053475328</v>
      </c>
      <c r="B794" s="1">
        <v>42526</v>
      </c>
      <c r="C794">
        <v>13953</v>
      </c>
      <c r="D794">
        <v>11</v>
      </c>
      <c r="E794" s="2">
        <v>910000038146973</v>
      </c>
      <c r="F794" t="s">
        <v>16</v>
      </c>
      <c r="G794" s="2">
        <v>121000003814697</v>
      </c>
      <c r="H794">
        <v>0</v>
      </c>
      <c r="I794">
        <v>90</v>
      </c>
      <c r="J794">
        <v>15</v>
      </c>
      <c r="K794">
        <v>90</v>
      </c>
      <c r="L794">
        <v>1245</v>
      </c>
      <c r="M794">
        <v>2859</v>
      </c>
      <c r="N794" t="str">
        <f t="shared" si="24"/>
        <v>Alta Actividad</v>
      </c>
      <c r="O794" t="str">
        <f t="shared" si="25"/>
        <v>Alto Sedentarismo</v>
      </c>
    </row>
    <row r="795" spans="1:15" x14ac:dyDescent="0.3">
      <c r="A795">
        <v>8053475328</v>
      </c>
      <c r="B795" s="1">
        <v>42556</v>
      </c>
      <c r="C795">
        <v>19769</v>
      </c>
      <c r="D795" s="2">
        <v>156700000762939</v>
      </c>
      <c r="E795" s="2">
        <v>124399995803833</v>
      </c>
      <c r="F795" t="s">
        <v>66</v>
      </c>
      <c r="G795" s="2">
        <v>234999990463257</v>
      </c>
      <c r="H795">
        <v>0</v>
      </c>
      <c r="I795">
        <v>121</v>
      </c>
      <c r="J795">
        <v>20</v>
      </c>
      <c r="K795">
        <v>148</v>
      </c>
      <c r="L795">
        <v>1076</v>
      </c>
      <c r="M795">
        <v>3331</v>
      </c>
      <c r="N795" t="str">
        <f t="shared" si="24"/>
        <v>Alta Actividad</v>
      </c>
      <c r="O795" t="str">
        <f t="shared" si="25"/>
        <v>Alto Sedentarismo</v>
      </c>
    </row>
    <row r="796" spans="1:15" x14ac:dyDescent="0.3">
      <c r="A796">
        <v>8053475328</v>
      </c>
      <c r="B796" s="1">
        <v>42587</v>
      </c>
      <c r="C796">
        <v>22026</v>
      </c>
      <c r="D796" s="2">
        <v>176499996185303</v>
      </c>
      <c r="E796" s="2">
        <v>133999996185303</v>
      </c>
      <c r="F796" t="s">
        <v>59</v>
      </c>
      <c r="G796" s="2">
        <v>366000008583069</v>
      </c>
      <c r="H796">
        <v>0</v>
      </c>
      <c r="I796">
        <v>125</v>
      </c>
      <c r="J796">
        <v>14</v>
      </c>
      <c r="K796">
        <v>228</v>
      </c>
      <c r="L796">
        <v>1073</v>
      </c>
      <c r="M796">
        <v>3589</v>
      </c>
      <c r="N796" t="str">
        <f t="shared" si="24"/>
        <v>Alta Actividad</v>
      </c>
      <c r="O796" t="str">
        <f t="shared" si="25"/>
        <v>Alto Sedentarismo</v>
      </c>
    </row>
    <row r="797" spans="1:15" x14ac:dyDescent="0.3">
      <c r="A797">
        <v>8053475328</v>
      </c>
      <c r="B797" s="1">
        <v>42618</v>
      </c>
      <c r="C797">
        <v>12465</v>
      </c>
      <c r="D797" s="2">
        <v>938000011444092</v>
      </c>
      <c r="E797" s="2">
        <v>611999988555908</v>
      </c>
      <c r="F797" t="s">
        <v>38</v>
      </c>
      <c r="G797" s="2">
        <v>269000005722046</v>
      </c>
      <c r="H797">
        <v>0</v>
      </c>
      <c r="I797">
        <v>66</v>
      </c>
      <c r="J797">
        <v>12</v>
      </c>
      <c r="K797">
        <v>148</v>
      </c>
      <c r="L797">
        <v>1214</v>
      </c>
      <c r="M797">
        <v>2765</v>
      </c>
      <c r="N797" t="str">
        <f t="shared" si="24"/>
        <v>Alta Actividad</v>
      </c>
      <c r="O797" t="str">
        <f t="shared" si="25"/>
        <v>Alto Sedentarismo</v>
      </c>
    </row>
    <row r="798" spans="1:15" x14ac:dyDescent="0.3">
      <c r="A798">
        <v>8053475328</v>
      </c>
      <c r="B798" s="1">
        <v>42648</v>
      </c>
      <c r="C798">
        <v>14810</v>
      </c>
      <c r="D798" s="2">
        <v>113599996566772</v>
      </c>
      <c r="E798" s="2">
        <v>909000015258789</v>
      </c>
      <c r="F798" t="s">
        <v>102</v>
      </c>
      <c r="G798" s="2">
        <v>185000002384186</v>
      </c>
      <c r="H798">
        <v>0</v>
      </c>
      <c r="I798">
        <v>96</v>
      </c>
      <c r="J798">
        <v>10</v>
      </c>
      <c r="K798">
        <v>115</v>
      </c>
      <c r="L798">
        <v>1219</v>
      </c>
      <c r="M798">
        <v>2926</v>
      </c>
      <c r="N798" t="str">
        <f t="shared" si="24"/>
        <v>Alta Actividad</v>
      </c>
      <c r="O798" t="str">
        <f t="shared" si="25"/>
        <v>Alto Sedentarismo</v>
      </c>
    </row>
    <row r="799" spans="1:15" x14ac:dyDescent="0.3">
      <c r="A799">
        <v>8053475328</v>
      </c>
      <c r="B799" s="1">
        <v>42679</v>
      </c>
      <c r="C799">
        <v>12209</v>
      </c>
      <c r="D799" s="2">
        <v>939999961853027</v>
      </c>
      <c r="E799" s="2">
        <v>607999992370605</v>
      </c>
      <c r="F799" t="s">
        <v>119</v>
      </c>
      <c r="G799" s="2">
        <v>303999996185303</v>
      </c>
      <c r="H799">
        <v>0</v>
      </c>
      <c r="I799">
        <v>60</v>
      </c>
      <c r="J799">
        <v>7</v>
      </c>
      <c r="K799">
        <v>184</v>
      </c>
      <c r="L799">
        <v>1189</v>
      </c>
      <c r="M799">
        <v>2809</v>
      </c>
      <c r="N799" t="str">
        <f t="shared" si="24"/>
        <v>Alta Actividad</v>
      </c>
      <c r="O799" t="str">
        <f t="shared" si="25"/>
        <v>Alto Sedentarismo</v>
      </c>
    </row>
    <row r="800" spans="1:15" x14ac:dyDescent="0.3">
      <c r="A800">
        <v>8053475328</v>
      </c>
      <c r="B800" s="1">
        <v>42709</v>
      </c>
      <c r="C800">
        <v>4998</v>
      </c>
      <c r="D800" s="2">
        <v>391000008583069</v>
      </c>
      <c r="E800" s="2">
        <v>295000004768372</v>
      </c>
      <c r="F800" t="s">
        <v>56</v>
      </c>
      <c r="G800" t="s">
        <v>143</v>
      </c>
      <c r="H800">
        <v>0</v>
      </c>
      <c r="I800">
        <v>28</v>
      </c>
      <c r="J800">
        <v>4</v>
      </c>
      <c r="K800">
        <v>39</v>
      </c>
      <c r="L800">
        <v>839</v>
      </c>
      <c r="M800">
        <v>1505</v>
      </c>
      <c r="N800" t="str">
        <f t="shared" si="24"/>
        <v>Baja Actividad</v>
      </c>
      <c r="O800" t="str">
        <f t="shared" si="25"/>
        <v>Alto Sedentarismo</v>
      </c>
    </row>
    <row r="801" spans="1:15" x14ac:dyDescent="0.3">
      <c r="A801">
        <v>8253242879</v>
      </c>
      <c r="B801" s="1">
        <v>42708</v>
      </c>
      <c r="C801">
        <v>9033</v>
      </c>
      <c r="D801" s="2">
        <v>715999984741211</v>
      </c>
      <c r="E801" s="2">
        <v>542999982833862</v>
      </c>
      <c r="F801" t="s">
        <v>60</v>
      </c>
      <c r="G801" s="2">
        <v>15900000333786</v>
      </c>
      <c r="H801">
        <v>0</v>
      </c>
      <c r="I801">
        <v>40</v>
      </c>
      <c r="J801">
        <v>2</v>
      </c>
      <c r="K801">
        <v>154</v>
      </c>
      <c r="L801">
        <v>1244</v>
      </c>
      <c r="M801">
        <v>2044</v>
      </c>
      <c r="N801" t="str">
        <f t="shared" si="24"/>
        <v>Baja Actividad</v>
      </c>
      <c r="O801" t="str">
        <f t="shared" si="25"/>
        <v>Alto Sedentarismo</v>
      </c>
    </row>
    <row r="802" spans="1:15" x14ac:dyDescent="0.3">
      <c r="A802">
        <v>8253242879</v>
      </c>
      <c r="B802" t="s">
        <v>15</v>
      </c>
      <c r="C802">
        <v>8053</v>
      </c>
      <c r="D802" s="2">
        <v>609999990463257</v>
      </c>
      <c r="E802" s="2">
        <v>417000007629395</v>
      </c>
      <c r="F802" t="s">
        <v>71</v>
      </c>
      <c r="G802" s="2">
        <v>130999994277954</v>
      </c>
      <c r="H802">
        <v>0</v>
      </c>
      <c r="I802">
        <v>35</v>
      </c>
      <c r="J802">
        <v>11</v>
      </c>
      <c r="K802">
        <v>96</v>
      </c>
      <c r="L802">
        <v>1298</v>
      </c>
      <c r="M802">
        <v>1935</v>
      </c>
      <c r="N802" t="str">
        <f t="shared" si="24"/>
        <v>Baja Actividad</v>
      </c>
      <c r="O802" t="str">
        <f t="shared" si="25"/>
        <v>Alto Sedentarismo</v>
      </c>
    </row>
    <row r="803" spans="1:15" x14ac:dyDescent="0.3">
      <c r="A803">
        <v>8253242879</v>
      </c>
      <c r="B803" t="s">
        <v>17</v>
      </c>
      <c r="C803">
        <v>5234</v>
      </c>
      <c r="D803" s="2">
        <v>346000003814697</v>
      </c>
      <c r="E803" s="2">
        <v>192999994754791</v>
      </c>
      <c r="F803" t="s">
        <v>73</v>
      </c>
      <c r="G803" t="s">
        <v>78</v>
      </c>
      <c r="H803">
        <v>0</v>
      </c>
      <c r="I803">
        <v>29</v>
      </c>
      <c r="J803">
        <v>16</v>
      </c>
      <c r="K803">
        <v>33</v>
      </c>
      <c r="L803">
        <v>1362</v>
      </c>
      <c r="M803">
        <v>1705</v>
      </c>
      <c r="N803" t="str">
        <f t="shared" si="24"/>
        <v>Baja Actividad</v>
      </c>
      <c r="O803" t="str">
        <f t="shared" si="25"/>
        <v>Alto Sedentarismo</v>
      </c>
    </row>
    <row r="804" spans="1:15" x14ac:dyDescent="0.3">
      <c r="A804">
        <v>8253242879</v>
      </c>
      <c r="B804" t="s">
        <v>19</v>
      </c>
      <c r="C804">
        <v>2672</v>
      </c>
      <c r="D804" s="2">
        <v>176999998092651</v>
      </c>
      <c r="E804">
        <v>0</v>
      </c>
      <c r="F804">
        <v>0</v>
      </c>
      <c r="G804" s="2">
        <v>175999999046326</v>
      </c>
      <c r="H804">
        <v>0</v>
      </c>
      <c r="I804">
        <v>0</v>
      </c>
      <c r="J804">
        <v>0</v>
      </c>
      <c r="K804">
        <v>105</v>
      </c>
      <c r="L804">
        <v>1335</v>
      </c>
      <c r="M804">
        <v>1632</v>
      </c>
      <c r="N804" t="str">
        <f t="shared" si="24"/>
        <v>Baja Actividad</v>
      </c>
      <c r="O804" t="str">
        <f t="shared" si="25"/>
        <v>Alto Sedentarismo</v>
      </c>
    </row>
    <row r="805" spans="1:15" x14ac:dyDescent="0.3">
      <c r="A805">
        <v>8253242879</v>
      </c>
      <c r="B805" t="s">
        <v>20</v>
      </c>
      <c r="C805">
        <v>9256</v>
      </c>
      <c r="D805" s="2">
        <v>61399998664856</v>
      </c>
      <c r="E805" t="s">
        <v>129</v>
      </c>
      <c r="F805" s="2">
        <v>326999998092651</v>
      </c>
      <c r="G805" s="2">
        <v>245000004768372</v>
      </c>
      <c r="H805">
        <v>0</v>
      </c>
      <c r="I805">
        <v>6</v>
      </c>
      <c r="J805">
        <v>51</v>
      </c>
      <c r="K805">
        <v>115</v>
      </c>
      <c r="L805">
        <v>1268</v>
      </c>
      <c r="M805">
        <v>1880</v>
      </c>
      <c r="N805" t="str">
        <f t="shared" si="24"/>
        <v>Baja Actividad</v>
      </c>
      <c r="O805" t="str">
        <f t="shared" si="25"/>
        <v>Alto Sedentarismo</v>
      </c>
    </row>
    <row r="806" spans="1:15" x14ac:dyDescent="0.3">
      <c r="A806">
        <v>8253242879</v>
      </c>
      <c r="B806" t="s">
        <v>22</v>
      </c>
      <c r="C806">
        <v>10204</v>
      </c>
      <c r="D806" s="2">
        <v>790999984741211</v>
      </c>
      <c r="E806" s="2">
        <v>542999982833862</v>
      </c>
      <c r="F806" t="s">
        <v>63</v>
      </c>
      <c r="G806" s="2">
        <v>232999992370605</v>
      </c>
      <c r="H806">
        <v>0</v>
      </c>
      <c r="I806">
        <v>41</v>
      </c>
      <c r="J806">
        <v>5</v>
      </c>
      <c r="K806">
        <v>157</v>
      </c>
      <c r="L806">
        <v>1237</v>
      </c>
      <c r="M806">
        <v>2112</v>
      </c>
      <c r="N806" t="str">
        <f t="shared" si="24"/>
        <v>Alta Actividad</v>
      </c>
      <c r="O806" t="str">
        <f t="shared" si="25"/>
        <v>Alto Sedentarismo</v>
      </c>
    </row>
    <row r="807" spans="1:15" x14ac:dyDescent="0.3">
      <c r="A807">
        <v>8253242879</v>
      </c>
      <c r="B807" t="s">
        <v>24</v>
      </c>
      <c r="C807">
        <v>5151</v>
      </c>
      <c r="D807" s="2">
        <v>348000001907349</v>
      </c>
      <c r="E807" s="2">
        <v>103999996185303</v>
      </c>
      <c r="F807" t="s">
        <v>71</v>
      </c>
      <c r="G807" s="2">
        <v>179999995231628</v>
      </c>
      <c r="H807">
        <v>0</v>
      </c>
      <c r="I807">
        <v>16</v>
      </c>
      <c r="J807">
        <v>16</v>
      </c>
      <c r="K807">
        <v>130</v>
      </c>
      <c r="L807">
        <v>1278</v>
      </c>
      <c r="M807">
        <v>1829</v>
      </c>
      <c r="N807" t="str">
        <f t="shared" si="24"/>
        <v>Baja Actividad</v>
      </c>
      <c r="O807" t="str">
        <f t="shared" si="25"/>
        <v>Alto Sedentarismo</v>
      </c>
    </row>
    <row r="808" spans="1:15" x14ac:dyDescent="0.3">
      <c r="A808">
        <v>8253242879</v>
      </c>
      <c r="B808" t="s">
        <v>27</v>
      </c>
      <c r="C808">
        <v>4212</v>
      </c>
      <c r="D808" s="2">
        <v>277999997138977</v>
      </c>
      <c r="E808">
        <v>0</v>
      </c>
      <c r="F808">
        <v>0</v>
      </c>
      <c r="G808" s="2">
        <v>277999997138977</v>
      </c>
      <c r="H808">
        <v>0</v>
      </c>
      <c r="I808">
        <v>0</v>
      </c>
      <c r="J808">
        <v>0</v>
      </c>
      <c r="K808">
        <v>164</v>
      </c>
      <c r="L808">
        <v>1276</v>
      </c>
      <c r="M808">
        <v>1763</v>
      </c>
      <c r="N808" t="str">
        <f t="shared" si="24"/>
        <v>Baja Actividad</v>
      </c>
      <c r="O808" t="str">
        <f t="shared" si="25"/>
        <v>Alto Sedentarismo</v>
      </c>
    </row>
    <row r="809" spans="1:15" x14ac:dyDescent="0.3">
      <c r="A809">
        <v>8253242879</v>
      </c>
      <c r="B809" t="s">
        <v>28</v>
      </c>
      <c r="C809">
        <v>6466</v>
      </c>
      <c r="D809" s="2">
        <v>426999998092651</v>
      </c>
      <c r="E809" t="s">
        <v>122</v>
      </c>
      <c r="F809" t="s">
        <v>79</v>
      </c>
      <c r="G809" s="2">
        <v>310999989509583</v>
      </c>
      <c r="H809" t="s">
        <v>50</v>
      </c>
      <c r="I809">
        <v>5</v>
      </c>
      <c r="J809">
        <v>18</v>
      </c>
      <c r="K809">
        <v>216</v>
      </c>
      <c r="L809">
        <v>1201</v>
      </c>
      <c r="M809">
        <v>1931</v>
      </c>
      <c r="N809" t="str">
        <f t="shared" si="24"/>
        <v>Baja Actividad</v>
      </c>
      <c r="O809" t="str">
        <f t="shared" si="25"/>
        <v>Alto Sedentarismo</v>
      </c>
    </row>
    <row r="810" spans="1:15" x14ac:dyDescent="0.3">
      <c r="A810">
        <v>8253242879</v>
      </c>
      <c r="B810" t="s">
        <v>30</v>
      </c>
      <c r="C810">
        <v>11268</v>
      </c>
      <c r="D810" s="2">
        <v>85600004196167</v>
      </c>
      <c r="E810" s="2">
        <v>588000011444092</v>
      </c>
      <c r="F810" t="s">
        <v>109</v>
      </c>
      <c r="G810" t="s">
        <v>127</v>
      </c>
      <c r="H810">
        <v>0</v>
      </c>
      <c r="I810">
        <v>49</v>
      </c>
      <c r="J810">
        <v>20</v>
      </c>
      <c r="K810">
        <v>172</v>
      </c>
      <c r="L810">
        <v>1199</v>
      </c>
      <c r="M810">
        <v>2218</v>
      </c>
      <c r="N810" t="str">
        <f t="shared" si="24"/>
        <v>Alta Actividad</v>
      </c>
      <c r="O810" t="str">
        <f t="shared" si="25"/>
        <v>Alto Sedentarismo</v>
      </c>
    </row>
    <row r="811" spans="1:15" x14ac:dyDescent="0.3">
      <c r="A811">
        <v>8253242879</v>
      </c>
      <c r="B811" t="s">
        <v>32</v>
      </c>
      <c r="C811">
        <v>2824</v>
      </c>
      <c r="D811" s="2">
        <v>187000000476837</v>
      </c>
      <c r="E811">
        <v>0</v>
      </c>
      <c r="F811">
        <v>0</v>
      </c>
      <c r="G811" s="2">
        <v>187000000476837</v>
      </c>
      <c r="H811">
        <v>0</v>
      </c>
      <c r="I811">
        <v>0</v>
      </c>
      <c r="J811">
        <v>0</v>
      </c>
      <c r="K811">
        <v>120</v>
      </c>
      <c r="L811">
        <v>1320</v>
      </c>
      <c r="M811">
        <v>1651</v>
      </c>
      <c r="N811" t="str">
        <f t="shared" si="24"/>
        <v>Baja Actividad</v>
      </c>
      <c r="O811" t="str">
        <f t="shared" si="25"/>
        <v>Alto Sedentarismo</v>
      </c>
    </row>
    <row r="812" spans="1:15" x14ac:dyDescent="0.3">
      <c r="A812">
        <v>8253242879</v>
      </c>
      <c r="B812" t="s">
        <v>33</v>
      </c>
      <c r="C812">
        <v>9282</v>
      </c>
      <c r="D812" s="2">
        <v>626000022888184</v>
      </c>
      <c r="E812" s="2">
        <v>208999991416931</v>
      </c>
      <c r="F812" s="2">
        <v>103999996185303</v>
      </c>
      <c r="G812" s="2">
        <v>313000011444092</v>
      </c>
      <c r="H812">
        <v>0</v>
      </c>
      <c r="I812">
        <v>30</v>
      </c>
      <c r="J812">
        <v>26</v>
      </c>
      <c r="K812">
        <v>191</v>
      </c>
      <c r="L812">
        <v>1193</v>
      </c>
      <c r="M812">
        <v>2132</v>
      </c>
      <c r="N812" t="str">
        <f t="shared" si="24"/>
        <v>Baja Actividad</v>
      </c>
      <c r="O812" t="str">
        <f t="shared" si="25"/>
        <v>Alto Sedentarismo</v>
      </c>
    </row>
    <row r="813" spans="1:15" x14ac:dyDescent="0.3">
      <c r="A813">
        <v>8253242879</v>
      </c>
      <c r="B813" t="s">
        <v>35</v>
      </c>
      <c r="C813">
        <v>8905</v>
      </c>
      <c r="D813" s="2">
        <v>713000011444092</v>
      </c>
      <c r="E813" s="2">
        <v>559999990463257</v>
      </c>
      <c r="F813" t="s">
        <v>112</v>
      </c>
      <c r="G813" s="2">
        <v>13400000333786</v>
      </c>
      <c r="H813">
        <v>0</v>
      </c>
      <c r="I813">
        <v>41</v>
      </c>
      <c r="J813">
        <v>4</v>
      </c>
      <c r="K813">
        <v>82</v>
      </c>
      <c r="L813">
        <v>1313</v>
      </c>
      <c r="M813">
        <v>1976</v>
      </c>
      <c r="N813" t="str">
        <f t="shared" si="24"/>
        <v>Baja Actividad</v>
      </c>
      <c r="O813" t="str">
        <f t="shared" si="25"/>
        <v>Alto Sedentarismo</v>
      </c>
    </row>
    <row r="814" spans="1:15" x14ac:dyDescent="0.3">
      <c r="A814">
        <v>8253242879</v>
      </c>
      <c r="B814" t="s">
        <v>37</v>
      </c>
      <c r="C814">
        <v>6829</v>
      </c>
      <c r="D814" s="2">
        <v>451000022888184</v>
      </c>
      <c r="E814" t="s">
        <v>61</v>
      </c>
      <c r="F814" s="2">
        <v>239000010490417</v>
      </c>
      <c r="G814" s="2">
        <v>176999998092651</v>
      </c>
      <c r="H814">
        <v>0</v>
      </c>
      <c r="I814">
        <v>7</v>
      </c>
      <c r="J814">
        <v>54</v>
      </c>
      <c r="K814">
        <v>118</v>
      </c>
      <c r="L814">
        <v>1261</v>
      </c>
      <c r="M814">
        <v>1909</v>
      </c>
      <c r="N814" t="str">
        <f t="shared" si="24"/>
        <v>Baja Actividad</v>
      </c>
      <c r="O814" t="str">
        <f t="shared" si="25"/>
        <v>Alto Sedentarismo</v>
      </c>
    </row>
    <row r="815" spans="1:15" x14ac:dyDescent="0.3">
      <c r="A815">
        <v>8253242879</v>
      </c>
      <c r="B815" t="s">
        <v>39</v>
      </c>
      <c r="C815">
        <v>4562</v>
      </c>
      <c r="D815" s="2">
        <v>303999996185303</v>
      </c>
      <c r="E815" s="2">
        <v>117999994754791</v>
      </c>
      <c r="F815" t="s">
        <v>115</v>
      </c>
      <c r="G815" s="2">
        <v>137000000476837</v>
      </c>
      <c r="H815">
        <v>0</v>
      </c>
      <c r="I815">
        <v>19</v>
      </c>
      <c r="J815">
        <v>14</v>
      </c>
      <c r="K815">
        <v>108</v>
      </c>
      <c r="L815">
        <v>1299</v>
      </c>
      <c r="M815">
        <v>1813</v>
      </c>
      <c r="N815" t="str">
        <f t="shared" si="24"/>
        <v>Baja Actividad</v>
      </c>
      <c r="O815" t="str">
        <f t="shared" si="25"/>
        <v>Alto Sedentarismo</v>
      </c>
    </row>
    <row r="816" spans="1:15" x14ac:dyDescent="0.3">
      <c r="A816">
        <v>8253242879</v>
      </c>
      <c r="B816" t="s">
        <v>41</v>
      </c>
      <c r="C816">
        <v>10232</v>
      </c>
      <c r="D816" s="2">
        <v>818000030517578</v>
      </c>
      <c r="E816" s="2">
        <v>623999977111816</v>
      </c>
      <c r="F816" t="s">
        <v>116</v>
      </c>
      <c r="G816" s="2">
        <v>170000004768372</v>
      </c>
      <c r="H816">
        <v>0</v>
      </c>
      <c r="I816">
        <v>45</v>
      </c>
      <c r="J816">
        <v>5</v>
      </c>
      <c r="K816">
        <v>104</v>
      </c>
      <c r="L816">
        <v>1286</v>
      </c>
      <c r="M816">
        <v>2008</v>
      </c>
      <c r="N816" t="str">
        <f t="shared" si="24"/>
        <v>Alta Actividad</v>
      </c>
      <c r="O816" t="str">
        <f t="shared" si="25"/>
        <v>Alto Sedentarismo</v>
      </c>
    </row>
    <row r="817" spans="1:15" x14ac:dyDescent="0.3">
      <c r="A817">
        <v>8253242879</v>
      </c>
      <c r="B817" t="s">
        <v>42</v>
      </c>
      <c r="C817">
        <v>2718</v>
      </c>
      <c r="D817" s="2">
        <v>179999995231628</v>
      </c>
      <c r="E817" t="s">
        <v>110</v>
      </c>
      <c r="F817" t="s">
        <v>23</v>
      </c>
      <c r="G817" t="s">
        <v>107</v>
      </c>
      <c r="H817">
        <v>0</v>
      </c>
      <c r="I817">
        <v>11</v>
      </c>
      <c r="J817">
        <v>16</v>
      </c>
      <c r="K817">
        <v>20</v>
      </c>
      <c r="L817">
        <v>1393</v>
      </c>
      <c r="M817">
        <v>1580</v>
      </c>
      <c r="N817" t="str">
        <f t="shared" si="24"/>
        <v>Baja Actividad</v>
      </c>
      <c r="O817" t="str">
        <f t="shared" si="25"/>
        <v>Alto Sedentarismo</v>
      </c>
    </row>
    <row r="818" spans="1:15" x14ac:dyDescent="0.3">
      <c r="A818">
        <v>8253242879</v>
      </c>
      <c r="B818" t="s">
        <v>43</v>
      </c>
      <c r="C818">
        <v>6260</v>
      </c>
      <c r="D818" s="2">
        <v>426000022888184</v>
      </c>
      <c r="E818" s="2">
        <v>128999996185303</v>
      </c>
      <c r="F818" t="s">
        <v>78</v>
      </c>
      <c r="G818" s="2">
        <v>240000009536743</v>
      </c>
      <c r="H818">
        <v>0</v>
      </c>
      <c r="I818">
        <v>16</v>
      </c>
      <c r="J818">
        <v>14</v>
      </c>
      <c r="K818">
        <v>136</v>
      </c>
      <c r="L818">
        <v>1257</v>
      </c>
      <c r="M818">
        <v>1854</v>
      </c>
      <c r="N818" t="str">
        <f t="shared" si="24"/>
        <v>Baja Actividad</v>
      </c>
      <c r="O818" t="str">
        <f t="shared" si="25"/>
        <v>Alto Sedentarismo</v>
      </c>
    </row>
    <row r="819" spans="1:15" x14ac:dyDescent="0.3">
      <c r="A819">
        <v>8253242879</v>
      </c>
      <c r="B819" t="s">
        <v>45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1440</v>
      </c>
      <c r="M819">
        <v>0</v>
      </c>
      <c r="N819" t="str">
        <f t="shared" si="24"/>
        <v>Baja Actividad</v>
      </c>
      <c r="O819" t="str">
        <f t="shared" si="25"/>
        <v>Alto Sedentarismo</v>
      </c>
    </row>
    <row r="820" spans="1:15" x14ac:dyDescent="0.3">
      <c r="A820">
        <v>8378563200</v>
      </c>
      <c r="B820" s="1">
        <v>42708</v>
      </c>
      <c r="C820">
        <v>7626</v>
      </c>
      <c r="D820" s="2">
        <v>605000019073486</v>
      </c>
      <c r="E820" t="s">
        <v>95</v>
      </c>
      <c r="F820" t="s">
        <v>150</v>
      </c>
      <c r="G820" t="s">
        <v>106</v>
      </c>
      <c r="H820">
        <v>0</v>
      </c>
      <c r="I820">
        <v>65</v>
      </c>
      <c r="J820">
        <v>15</v>
      </c>
      <c r="K820">
        <v>156</v>
      </c>
      <c r="L820">
        <v>723</v>
      </c>
      <c r="M820">
        <v>3635</v>
      </c>
      <c r="N820" t="str">
        <f t="shared" si="24"/>
        <v>Baja Actividad</v>
      </c>
      <c r="O820" t="str">
        <f t="shared" si="25"/>
        <v>Alto Sedentarismo</v>
      </c>
    </row>
    <row r="821" spans="1:15" x14ac:dyDescent="0.3">
      <c r="A821">
        <v>8378563200</v>
      </c>
      <c r="B821" t="s">
        <v>15</v>
      </c>
      <c r="C821">
        <v>12386</v>
      </c>
      <c r="D821" s="2">
        <v>981999969482422</v>
      </c>
      <c r="E821" s="2">
        <v>496000003814697</v>
      </c>
      <c r="F821" t="s">
        <v>138</v>
      </c>
      <c r="G821" s="2">
        <v>421000003814697</v>
      </c>
      <c r="H821">
        <v>0</v>
      </c>
      <c r="I821">
        <v>116</v>
      </c>
      <c r="J821">
        <v>14</v>
      </c>
      <c r="K821">
        <v>169</v>
      </c>
      <c r="L821">
        <v>680</v>
      </c>
      <c r="M821">
        <v>4079</v>
      </c>
      <c r="N821" t="str">
        <f t="shared" si="24"/>
        <v>Alta Actividad</v>
      </c>
      <c r="O821" t="str">
        <f t="shared" si="25"/>
        <v>Bajo Sedentarismo</v>
      </c>
    </row>
    <row r="822" spans="1:15" x14ac:dyDescent="0.3">
      <c r="A822">
        <v>8378563200</v>
      </c>
      <c r="B822" t="s">
        <v>17</v>
      </c>
      <c r="C822">
        <v>13318</v>
      </c>
      <c r="D822" s="2">
        <v>105600004196167</v>
      </c>
      <c r="E822" s="2">
        <v>561999988555908</v>
      </c>
      <c r="F822" s="2">
        <v>102999997138977</v>
      </c>
      <c r="G822" s="2">
        <v>391000008583069</v>
      </c>
      <c r="H822">
        <v>0</v>
      </c>
      <c r="I822">
        <v>123</v>
      </c>
      <c r="J822">
        <v>21</v>
      </c>
      <c r="K822">
        <v>174</v>
      </c>
      <c r="L822">
        <v>699</v>
      </c>
      <c r="M822">
        <v>4163</v>
      </c>
      <c r="N822" t="str">
        <f t="shared" si="24"/>
        <v>Alta Actividad</v>
      </c>
      <c r="O822" t="str">
        <f t="shared" si="25"/>
        <v>Bajo Sedentarismo</v>
      </c>
    </row>
    <row r="823" spans="1:15" x14ac:dyDescent="0.3">
      <c r="A823">
        <v>8378563200</v>
      </c>
      <c r="B823" t="s">
        <v>19</v>
      </c>
      <c r="C823">
        <v>14461</v>
      </c>
      <c r="D823" s="2">
        <v>114700002670288</v>
      </c>
      <c r="E823" s="2">
        <v>490999984741211</v>
      </c>
      <c r="F823" s="2">
        <v>114999997615814</v>
      </c>
      <c r="G823" s="2">
        <v>540999984741211</v>
      </c>
      <c r="H823">
        <v>0</v>
      </c>
      <c r="I823">
        <v>60</v>
      </c>
      <c r="J823">
        <v>23</v>
      </c>
      <c r="K823">
        <v>190</v>
      </c>
      <c r="L823">
        <v>729</v>
      </c>
      <c r="M823">
        <v>3666</v>
      </c>
      <c r="N823" t="str">
        <f t="shared" si="24"/>
        <v>Alta Actividad</v>
      </c>
      <c r="O823" t="str">
        <f t="shared" si="25"/>
        <v>Alto Sedentarismo</v>
      </c>
    </row>
    <row r="824" spans="1:15" x14ac:dyDescent="0.3">
      <c r="A824">
        <v>8378563200</v>
      </c>
      <c r="B824" t="s">
        <v>20</v>
      </c>
      <c r="C824">
        <v>11207</v>
      </c>
      <c r="D824" s="2">
        <v>889000034332275</v>
      </c>
      <c r="E824" s="2">
        <v>536999988555908</v>
      </c>
      <c r="F824" s="2">
        <v>107000005245209</v>
      </c>
      <c r="G824" s="2">
        <v>244000005722046</v>
      </c>
      <c r="H824">
        <v>0</v>
      </c>
      <c r="I824">
        <v>64</v>
      </c>
      <c r="J824">
        <v>21</v>
      </c>
      <c r="K824">
        <v>142</v>
      </c>
      <c r="L824">
        <v>563</v>
      </c>
      <c r="M824">
        <v>3363</v>
      </c>
      <c r="N824" t="str">
        <f t="shared" si="24"/>
        <v>Alta Actividad</v>
      </c>
      <c r="O824" t="str">
        <f t="shared" si="25"/>
        <v>Bajo Sedentarismo</v>
      </c>
    </row>
    <row r="825" spans="1:15" x14ac:dyDescent="0.3">
      <c r="A825">
        <v>8378563200</v>
      </c>
      <c r="B825" t="s">
        <v>22</v>
      </c>
      <c r="C825">
        <v>2132</v>
      </c>
      <c r="D825" s="2">
        <v>169000005722046</v>
      </c>
      <c r="E825">
        <v>0</v>
      </c>
      <c r="F825">
        <v>0</v>
      </c>
      <c r="G825" s="2">
        <v>169000005722046</v>
      </c>
      <c r="H825">
        <v>0</v>
      </c>
      <c r="I825">
        <v>0</v>
      </c>
      <c r="J825">
        <v>0</v>
      </c>
      <c r="K825">
        <v>93</v>
      </c>
      <c r="L825">
        <v>599</v>
      </c>
      <c r="M825">
        <v>2572</v>
      </c>
      <c r="N825" t="str">
        <f t="shared" si="24"/>
        <v>Baja Actividad</v>
      </c>
      <c r="O825" t="str">
        <f t="shared" si="25"/>
        <v>Bajo Sedentarismo</v>
      </c>
    </row>
    <row r="826" spans="1:15" x14ac:dyDescent="0.3">
      <c r="A826">
        <v>8378563200</v>
      </c>
      <c r="B826" t="s">
        <v>24</v>
      </c>
      <c r="C826">
        <v>13630</v>
      </c>
      <c r="D826" s="2">
        <v>108100004196167</v>
      </c>
      <c r="E826" s="2">
        <v>505000019073486</v>
      </c>
      <c r="F826" t="s">
        <v>121</v>
      </c>
      <c r="G826" s="2">
        <v>519999980926514</v>
      </c>
      <c r="H826">
        <v>0</v>
      </c>
      <c r="I826">
        <v>117</v>
      </c>
      <c r="J826">
        <v>10</v>
      </c>
      <c r="K826">
        <v>174</v>
      </c>
      <c r="L826">
        <v>720</v>
      </c>
      <c r="M826">
        <v>4157</v>
      </c>
      <c r="N826" t="str">
        <f t="shared" si="24"/>
        <v>Alta Actividad</v>
      </c>
      <c r="O826" t="str">
        <f t="shared" si="25"/>
        <v>Alto Sedentarismo</v>
      </c>
    </row>
    <row r="827" spans="1:15" x14ac:dyDescent="0.3">
      <c r="A827">
        <v>8378563200</v>
      </c>
      <c r="B827" t="s">
        <v>27</v>
      </c>
      <c r="C827">
        <v>13070</v>
      </c>
      <c r="D827" s="2">
        <v>103599996566772</v>
      </c>
      <c r="E827" s="2">
        <v>530000019073486</v>
      </c>
      <c r="F827" t="s">
        <v>66</v>
      </c>
      <c r="G827" s="2">
        <v>417999982833862</v>
      </c>
      <c r="H827">
        <v>0</v>
      </c>
      <c r="I827">
        <v>120</v>
      </c>
      <c r="J827">
        <v>19</v>
      </c>
      <c r="K827">
        <v>154</v>
      </c>
      <c r="L827">
        <v>737</v>
      </c>
      <c r="M827">
        <v>4092</v>
      </c>
      <c r="N827" t="str">
        <f t="shared" si="24"/>
        <v>Alta Actividad</v>
      </c>
      <c r="O827" t="str">
        <f t="shared" si="25"/>
        <v>Alto Sedentarismo</v>
      </c>
    </row>
    <row r="828" spans="1:15" x14ac:dyDescent="0.3">
      <c r="A828">
        <v>8378563200</v>
      </c>
      <c r="B828" t="s">
        <v>28</v>
      </c>
      <c r="C828">
        <v>9388</v>
      </c>
      <c r="D828" s="2">
        <v>744000005722046</v>
      </c>
      <c r="E828" s="2">
        <v>223000001907349</v>
      </c>
      <c r="F828" t="s">
        <v>134</v>
      </c>
      <c r="G828" s="2">
        <v>478000020980835</v>
      </c>
      <c r="H828">
        <v>0</v>
      </c>
      <c r="I828">
        <v>82</v>
      </c>
      <c r="J828">
        <v>8</v>
      </c>
      <c r="K828">
        <v>169</v>
      </c>
      <c r="L828">
        <v>763</v>
      </c>
      <c r="M828">
        <v>3787</v>
      </c>
      <c r="N828" t="str">
        <f t="shared" si="24"/>
        <v>Baja Actividad</v>
      </c>
      <c r="O828" t="str">
        <f t="shared" si="25"/>
        <v>Alto Sedentarismo</v>
      </c>
    </row>
    <row r="829" spans="1:15" x14ac:dyDescent="0.3">
      <c r="A829">
        <v>8378563200</v>
      </c>
      <c r="B829" t="s">
        <v>30</v>
      </c>
      <c r="C829">
        <v>15148</v>
      </c>
      <c r="D829" s="2">
        <v>120100002288818</v>
      </c>
      <c r="E829" s="2">
        <v>690000009536743</v>
      </c>
      <c r="F829" t="s">
        <v>79</v>
      </c>
      <c r="G829" s="2">
        <v>428999996185303</v>
      </c>
      <c r="H829">
        <v>0</v>
      </c>
      <c r="I829">
        <v>137</v>
      </c>
      <c r="J829">
        <v>16</v>
      </c>
      <c r="K829">
        <v>145</v>
      </c>
      <c r="L829">
        <v>677</v>
      </c>
      <c r="M829">
        <v>4236</v>
      </c>
      <c r="N829" t="str">
        <f t="shared" si="24"/>
        <v>Alta Actividad</v>
      </c>
      <c r="O829" t="str">
        <f t="shared" si="25"/>
        <v>Bajo Sedentarismo</v>
      </c>
    </row>
    <row r="830" spans="1:15" x14ac:dyDescent="0.3">
      <c r="A830">
        <v>8378563200</v>
      </c>
      <c r="B830" t="s">
        <v>32</v>
      </c>
      <c r="C830">
        <v>12200</v>
      </c>
      <c r="D830" s="2">
        <v>967000007629395</v>
      </c>
      <c r="E830" s="2">
        <v>490999984741211</v>
      </c>
      <c r="F830" t="s">
        <v>59</v>
      </c>
      <c r="G830" s="2">
        <v>417999982833862</v>
      </c>
      <c r="H830">
        <v>0</v>
      </c>
      <c r="I830">
        <v>113</v>
      </c>
      <c r="J830">
        <v>12</v>
      </c>
      <c r="K830">
        <v>159</v>
      </c>
      <c r="L830">
        <v>769</v>
      </c>
      <c r="M830">
        <v>4044</v>
      </c>
      <c r="N830" t="str">
        <f t="shared" si="24"/>
        <v>Alta Actividad</v>
      </c>
      <c r="O830" t="str">
        <f t="shared" si="25"/>
        <v>Alto Sedentarismo</v>
      </c>
    </row>
    <row r="831" spans="1:15" x14ac:dyDescent="0.3">
      <c r="A831">
        <v>8378563200</v>
      </c>
      <c r="B831" t="s">
        <v>33</v>
      </c>
      <c r="C831">
        <v>5709</v>
      </c>
      <c r="D831" s="2">
        <v>453000020980835</v>
      </c>
      <c r="E831" s="2">
        <v>151999998092651</v>
      </c>
      <c r="F831" t="s">
        <v>77</v>
      </c>
      <c r="G831" s="2">
        <v>248000001907349</v>
      </c>
      <c r="H831">
        <v>0</v>
      </c>
      <c r="I831">
        <v>19</v>
      </c>
      <c r="J831">
        <v>10</v>
      </c>
      <c r="K831">
        <v>136</v>
      </c>
      <c r="L831">
        <v>740</v>
      </c>
      <c r="M831">
        <v>2908</v>
      </c>
      <c r="N831" t="str">
        <f t="shared" si="24"/>
        <v>Baja Actividad</v>
      </c>
      <c r="O831" t="str">
        <f t="shared" si="25"/>
        <v>Alto Sedentarismo</v>
      </c>
    </row>
    <row r="832" spans="1:15" x14ac:dyDescent="0.3">
      <c r="A832">
        <v>8378563200</v>
      </c>
      <c r="B832" t="s">
        <v>35</v>
      </c>
      <c r="C832">
        <v>3703</v>
      </c>
      <c r="D832" s="2">
        <v>294000005722046</v>
      </c>
      <c r="E832">
        <v>0</v>
      </c>
      <c r="F832">
        <v>0</v>
      </c>
      <c r="G832" s="2">
        <v>294000005722046</v>
      </c>
      <c r="H832">
        <v>0</v>
      </c>
      <c r="I832">
        <v>0</v>
      </c>
      <c r="J832">
        <v>0</v>
      </c>
      <c r="K832">
        <v>135</v>
      </c>
      <c r="L832">
        <v>734</v>
      </c>
      <c r="M832">
        <v>2741</v>
      </c>
      <c r="N832" t="str">
        <f t="shared" si="24"/>
        <v>Baja Actividad</v>
      </c>
      <c r="O832" t="str">
        <f t="shared" si="25"/>
        <v>Alto Sedentarismo</v>
      </c>
    </row>
    <row r="833" spans="1:15" x14ac:dyDescent="0.3">
      <c r="A833">
        <v>8378563200</v>
      </c>
      <c r="B833" t="s">
        <v>37</v>
      </c>
      <c r="C833">
        <v>12405</v>
      </c>
      <c r="D833" s="2">
        <v>984000015258789</v>
      </c>
      <c r="E833" s="2">
        <v>505000019073486</v>
      </c>
      <c r="F833" t="s">
        <v>34</v>
      </c>
      <c r="G833" s="2">
        <v>392000007629395</v>
      </c>
      <c r="H833">
        <v>0</v>
      </c>
      <c r="I833">
        <v>117</v>
      </c>
      <c r="J833">
        <v>16</v>
      </c>
      <c r="K833">
        <v>141</v>
      </c>
      <c r="L833">
        <v>692</v>
      </c>
      <c r="M833">
        <v>4005</v>
      </c>
      <c r="N833" t="str">
        <f t="shared" si="24"/>
        <v>Alta Actividad</v>
      </c>
      <c r="O833" t="str">
        <f t="shared" si="25"/>
        <v>Bajo Sedentarismo</v>
      </c>
    </row>
    <row r="834" spans="1:15" x14ac:dyDescent="0.3">
      <c r="A834">
        <v>8378563200</v>
      </c>
      <c r="B834" t="s">
        <v>39</v>
      </c>
      <c r="C834">
        <v>16208</v>
      </c>
      <c r="D834" s="2">
        <v>128500003814697</v>
      </c>
      <c r="E834" s="2">
        <v>751000022888184</v>
      </c>
      <c r="F834" t="s">
        <v>40</v>
      </c>
      <c r="G834" s="2">
        <v>442000007629395</v>
      </c>
      <c r="H834">
        <v>0</v>
      </c>
      <c r="I834">
        <v>90</v>
      </c>
      <c r="J834">
        <v>18</v>
      </c>
      <c r="K834">
        <v>161</v>
      </c>
      <c r="L834">
        <v>593</v>
      </c>
      <c r="M834">
        <v>3763</v>
      </c>
      <c r="N834" t="str">
        <f t="shared" si="24"/>
        <v>Alta Actividad</v>
      </c>
      <c r="O834" t="str">
        <f t="shared" si="25"/>
        <v>Bajo Sedentarismo</v>
      </c>
    </row>
    <row r="835" spans="1:15" x14ac:dyDescent="0.3">
      <c r="A835">
        <v>8378563200</v>
      </c>
      <c r="B835" t="s">
        <v>41</v>
      </c>
      <c r="C835">
        <v>7359</v>
      </c>
      <c r="D835" s="2">
        <v>584000015258789</v>
      </c>
      <c r="E835" t="s">
        <v>122</v>
      </c>
      <c r="F835" t="s">
        <v>98</v>
      </c>
      <c r="G835" s="2">
        <v>532999992370605</v>
      </c>
      <c r="H835">
        <v>0</v>
      </c>
      <c r="I835">
        <v>4</v>
      </c>
      <c r="J835">
        <v>4</v>
      </c>
      <c r="K835">
        <v>192</v>
      </c>
      <c r="L835">
        <v>676</v>
      </c>
      <c r="M835">
        <v>3061</v>
      </c>
      <c r="N835" t="str">
        <f t="shared" ref="N835:N898" si="26">IF(C835&gt;=10000, "Alta Actividad", "Baja Actividad")</f>
        <v>Baja Actividad</v>
      </c>
      <c r="O835" t="str">
        <f t="shared" ref="O835:O898" si="27">IF(L835&gt;=700, "Alto Sedentarismo",  "Bajo Sedentarismo")</f>
        <v>Bajo Sedentarismo</v>
      </c>
    </row>
    <row r="836" spans="1:15" x14ac:dyDescent="0.3">
      <c r="A836">
        <v>8378563200</v>
      </c>
      <c r="B836" t="s">
        <v>42</v>
      </c>
      <c r="C836">
        <v>5417</v>
      </c>
      <c r="D836" s="2">
        <v>430000019073486</v>
      </c>
      <c r="E836" t="s">
        <v>57</v>
      </c>
      <c r="F836" t="s">
        <v>115</v>
      </c>
      <c r="G836" s="2">
        <v>291000008583069</v>
      </c>
      <c r="H836">
        <v>0</v>
      </c>
      <c r="I836">
        <v>11</v>
      </c>
      <c r="J836">
        <v>10</v>
      </c>
      <c r="K836">
        <v>139</v>
      </c>
      <c r="L836">
        <v>711</v>
      </c>
      <c r="M836">
        <v>2884</v>
      </c>
      <c r="N836" t="str">
        <f t="shared" si="26"/>
        <v>Baja Actividad</v>
      </c>
      <c r="O836" t="str">
        <f t="shared" si="27"/>
        <v>Alto Sedentarismo</v>
      </c>
    </row>
    <row r="837" spans="1:15" x14ac:dyDescent="0.3">
      <c r="A837">
        <v>8378563200</v>
      </c>
      <c r="B837" t="s">
        <v>43</v>
      </c>
      <c r="C837">
        <v>6175</v>
      </c>
      <c r="D837" s="2">
        <v>490000009536743</v>
      </c>
      <c r="E837" t="s">
        <v>47</v>
      </c>
      <c r="F837" t="s">
        <v>61</v>
      </c>
      <c r="G837" s="2">
        <v>426999998092651</v>
      </c>
      <c r="H837">
        <v>0</v>
      </c>
      <c r="I837">
        <v>3</v>
      </c>
      <c r="J837">
        <v>7</v>
      </c>
      <c r="K837">
        <v>172</v>
      </c>
      <c r="L837">
        <v>767</v>
      </c>
      <c r="M837">
        <v>2982</v>
      </c>
      <c r="N837" t="str">
        <f t="shared" si="26"/>
        <v>Baja Actividad</v>
      </c>
      <c r="O837" t="str">
        <f t="shared" si="27"/>
        <v>Alto Sedentarismo</v>
      </c>
    </row>
    <row r="838" spans="1:15" x14ac:dyDescent="0.3">
      <c r="A838">
        <v>8378563200</v>
      </c>
      <c r="B838" t="s">
        <v>45</v>
      </c>
      <c r="C838">
        <v>2946</v>
      </c>
      <c r="D838" s="2">
        <v>233999991416931</v>
      </c>
      <c r="E838">
        <v>0</v>
      </c>
      <c r="F838">
        <v>0</v>
      </c>
      <c r="G838" s="2">
        <v>233999991416931</v>
      </c>
      <c r="H838">
        <v>0</v>
      </c>
      <c r="I838">
        <v>0</v>
      </c>
      <c r="J838">
        <v>0</v>
      </c>
      <c r="K838">
        <v>121</v>
      </c>
      <c r="L838">
        <v>780</v>
      </c>
      <c r="M838">
        <v>2660</v>
      </c>
      <c r="N838" t="str">
        <f t="shared" si="26"/>
        <v>Baja Actividad</v>
      </c>
      <c r="O838" t="str">
        <f t="shared" si="27"/>
        <v>Alto Sedentarismo</v>
      </c>
    </row>
    <row r="839" spans="1:15" x14ac:dyDescent="0.3">
      <c r="A839">
        <v>8378563200</v>
      </c>
      <c r="B839" s="1">
        <v>42374</v>
      </c>
      <c r="C839">
        <v>11419</v>
      </c>
      <c r="D839" s="2">
        <v>90600004196167</v>
      </c>
      <c r="E839" s="2">
        <v>603000020980835</v>
      </c>
      <c r="F839" t="s">
        <v>121</v>
      </c>
      <c r="G839" s="2">
        <v>247000002861023</v>
      </c>
      <c r="H839">
        <v>0</v>
      </c>
      <c r="I839">
        <v>71</v>
      </c>
      <c r="J839">
        <v>10</v>
      </c>
      <c r="K839">
        <v>127</v>
      </c>
      <c r="L839">
        <v>669</v>
      </c>
      <c r="M839">
        <v>3369</v>
      </c>
      <c r="N839" t="str">
        <f t="shared" si="26"/>
        <v>Alta Actividad</v>
      </c>
      <c r="O839" t="str">
        <f t="shared" si="27"/>
        <v>Bajo Sedentarismo</v>
      </c>
    </row>
    <row r="840" spans="1:15" x14ac:dyDescent="0.3">
      <c r="A840">
        <v>8378563200</v>
      </c>
      <c r="B840" s="1">
        <v>42405</v>
      </c>
      <c r="C840">
        <v>6064</v>
      </c>
      <c r="D840" s="2">
        <v>480999994277954</v>
      </c>
      <c r="E840" t="s">
        <v>71</v>
      </c>
      <c r="F840" t="s">
        <v>92</v>
      </c>
      <c r="G840" s="2">
        <v>401000022888184</v>
      </c>
      <c r="H840">
        <v>0</v>
      </c>
      <c r="I840">
        <v>63</v>
      </c>
      <c r="J840">
        <v>4</v>
      </c>
      <c r="K840">
        <v>142</v>
      </c>
      <c r="L840">
        <v>802</v>
      </c>
      <c r="M840">
        <v>3491</v>
      </c>
      <c r="N840" t="str">
        <f t="shared" si="26"/>
        <v>Baja Actividad</v>
      </c>
      <c r="O840" t="str">
        <f t="shared" si="27"/>
        <v>Alto Sedentarismo</v>
      </c>
    </row>
    <row r="841" spans="1:15" x14ac:dyDescent="0.3">
      <c r="A841">
        <v>8378563200</v>
      </c>
      <c r="B841" s="1">
        <v>42434</v>
      </c>
      <c r="C841">
        <v>8712</v>
      </c>
      <c r="D841" s="2">
        <v>690999984741211</v>
      </c>
      <c r="E841" s="2">
        <v>13400000333786</v>
      </c>
      <c r="F841" s="2">
        <v>105999994277954</v>
      </c>
      <c r="G841" t="s">
        <v>106</v>
      </c>
      <c r="H841">
        <v>0</v>
      </c>
      <c r="I841">
        <v>71</v>
      </c>
      <c r="J841">
        <v>20</v>
      </c>
      <c r="K841">
        <v>195</v>
      </c>
      <c r="L841">
        <v>822</v>
      </c>
      <c r="M841">
        <v>3784</v>
      </c>
      <c r="N841" t="str">
        <f t="shared" si="26"/>
        <v>Baja Actividad</v>
      </c>
      <c r="O841" t="str">
        <f t="shared" si="27"/>
        <v>Alto Sedentarismo</v>
      </c>
    </row>
    <row r="842" spans="1:15" x14ac:dyDescent="0.3">
      <c r="A842">
        <v>8378563200</v>
      </c>
      <c r="B842" s="1">
        <v>42465</v>
      </c>
      <c r="C842">
        <v>7875</v>
      </c>
      <c r="D842" s="2">
        <v>623999977111816</v>
      </c>
      <c r="E842" s="2">
        <v>155999994277954</v>
      </c>
      <c r="F842" t="s">
        <v>115</v>
      </c>
      <c r="G842" s="2">
        <v>419999980926514</v>
      </c>
      <c r="H842">
        <v>0</v>
      </c>
      <c r="I842">
        <v>19</v>
      </c>
      <c r="J842">
        <v>10</v>
      </c>
      <c r="K842">
        <v>167</v>
      </c>
      <c r="L842">
        <v>680</v>
      </c>
      <c r="M842">
        <v>3110</v>
      </c>
      <c r="N842" t="str">
        <f t="shared" si="26"/>
        <v>Baja Actividad</v>
      </c>
      <c r="O842" t="str">
        <f t="shared" si="27"/>
        <v>Bajo Sedentarismo</v>
      </c>
    </row>
    <row r="843" spans="1:15" x14ac:dyDescent="0.3">
      <c r="A843">
        <v>8378563200</v>
      </c>
      <c r="B843" s="1">
        <v>42495</v>
      </c>
      <c r="C843">
        <v>8567</v>
      </c>
      <c r="D843" s="2">
        <v>678999996185303</v>
      </c>
      <c r="E843" t="s">
        <v>65</v>
      </c>
      <c r="F843" t="s">
        <v>113</v>
      </c>
      <c r="G843" s="2">
        <v>573999977111816</v>
      </c>
      <c r="H843">
        <v>0</v>
      </c>
      <c r="I843">
        <v>66</v>
      </c>
      <c r="J843">
        <v>3</v>
      </c>
      <c r="K843">
        <v>214</v>
      </c>
      <c r="L843">
        <v>764</v>
      </c>
      <c r="M843">
        <v>3783</v>
      </c>
      <c r="N843" t="str">
        <f t="shared" si="26"/>
        <v>Baja Actividad</v>
      </c>
      <c r="O843" t="str">
        <f t="shared" si="27"/>
        <v>Alto Sedentarismo</v>
      </c>
    </row>
    <row r="844" spans="1:15" x14ac:dyDescent="0.3">
      <c r="A844">
        <v>8378563200</v>
      </c>
      <c r="B844" s="1">
        <v>42526</v>
      </c>
      <c r="C844">
        <v>7045</v>
      </c>
      <c r="D844" s="2">
        <v>559000015258789</v>
      </c>
      <c r="E844" s="2">
        <v>154999995231628</v>
      </c>
      <c r="F844" t="s">
        <v>47</v>
      </c>
      <c r="G844" s="2">
        <v>377999997138977</v>
      </c>
      <c r="H844">
        <v>0</v>
      </c>
      <c r="I844">
        <v>74</v>
      </c>
      <c r="J844">
        <v>5</v>
      </c>
      <c r="K844">
        <v>166</v>
      </c>
      <c r="L844">
        <v>831</v>
      </c>
      <c r="M844">
        <v>3644</v>
      </c>
      <c r="N844" t="str">
        <f t="shared" si="26"/>
        <v>Baja Actividad</v>
      </c>
      <c r="O844" t="str">
        <f t="shared" si="27"/>
        <v>Alto Sedentarismo</v>
      </c>
    </row>
    <row r="845" spans="1:15" x14ac:dyDescent="0.3">
      <c r="A845">
        <v>8378563200</v>
      </c>
      <c r="B845" s="1">
        <v>42556</v>
      </c>
      <c r="C845">
        <v>4468</v>
      </c>
      <c r="D845" s="2">
        <v>353999996185303</v>
      </c>
      <c r="E845">
        <v>0</v>
      </c>
      <c r="F845">
        <v>0</v>
      </c>
      <c r="G845" s="2">
        <v>353999996185303</v>
      </c>
      <c r="H845">
        <v>0</v>
      </c>
      <c r="I845">
        <v>0</v>
      </c>
      <c r="J845">
        <v>0</v>
      </c>
      <c r="K845">
        <v>158</v>
      </c>
      <c r="L845">
        <v>851</v>
      </c>
      <c r="M845">
        <v>2799</v>
      </c>
      <c r="N845" t="str">
        <f t="shared" si="26"/>
        <v>Baja Actividad</v>
      </c>
      <c r="O845" t="str">
        <f t="shared" si="27"/>
        <v>Alto Sedentarismo</v>
      </c>
    </row>
    <row r="846" spans="1:15" x14ac:dyDescent="0.3">
      <c r="A846">
        <v>8378563200</v>
      </c>
      <c r="B846" s="1">
        <v>42587</v>
      </c>
      <c r="C846">
        <v>2943</v>
      </c>
      <c r="D846" s="2">
        <v>232999992370605</v>
      </c>
      <c r="E846">
        <v>0</v>
      </c>
      <c r="F846">
        <v>0</v>
      </c>
      <c r="G846" s="2">
        <v>232999992370605</v>
      </c>
      <c r="H846">
        <v>0</v>
      </c>
      <c r="I846">
        <v>0</v>
      </c>
      <c r="J846">
        <v>0</v>
      </c>
      <c r="K846">
        <v>139</v>
      </c>
      <c r="L846">
        <v>621</v>
      </c>
      <c r="M846">
        <v>2685</v>
      </c>
      <c r="N846" t="str">
        <f t="shared" si="26"/>
        <v>Baja Actividad</v>
      </c>
      <c r="O846" t="str">
        <f t="shared" si="27"/>
        <v>Bajo Sedentarismo</v>
      </c>
    </row>
    <row r="847" spans="1:15" x14ac:dyDescent="0.3">
      <c r="A847">
        <v>8378563200</v>
      </c>
      <c r="B847" s="1">
        <v>42618</v>
      </c>
      <c r="C847">
        <v>8382</v>
      </c>
      <c r="D847" s="2">
        <v>665000009536743</v>
      </c>
      <c r="E847" s="2">
        <v>126999998092651</v>
      </c>
      <c r="F847" t="s">
        <v>101</v>
      </c>
      <c r="G847" s="2">
        <v>471999979019165</v>
      </c>
      <c r="H847">
        <v>0</v>
      </c>
      <c r="I847">
        <v>71</v>
      </c>
      <c r="J847">
        <v>13</v>
      </c>
      <c r="K847">
        <v>171</v>
      </c>
      <c r="L847">
        <v>772</v>
      </c>
      <c r="M847">
        <v>3721</v>
      </c>
      <c r="N847" t="str">
        <f t="shared" si="26"/>
        <v>Baja Actividad</v>
      </c>
      <c r="O847" t="str">
        <f t="shared" si="27"/>
        <v>Alto Sedentarismo</v>
      </c>
    </row>
    <row r="848" spans="1:15" x14ac:dyDescent="0.3">
      <c r="A848">
        <v>8378563200</v>
      </c>
      <c r="B848" s="1">
        <v>42648</v>
      </c>
      <c r="C848">
        <v>6582</v>
      </c>
      <c r="D848" s="2">
        <v>521999979019165</v>
      </c>
      <c r="E848" t="s">
        <v>101</v>
      </c>
      <c r="F848" t="s">
        <v>26</v>
      </c>
      <c r="G848" s="2">
        <v>392000007629395</v>
      </c>
      <c r="H848">
        <v>0</v>
      </c>
      <c r="I848">
        <v>63</v>
      </c>
      <c r="J848">
        <v>13</v>
      </c>
      <c r="K848">
        <v>152</v>
      </c>
      <c r="L848">
        <v>840</v>
      </c>
      <c r="M848">
        <v>3586</v>
      </c>
      <c r="N848" t="str">
        <f t="shared" si="26"/>
        <v>Baja Actividad</v>
      </c>
      <c r="O848" t="str">
        <f t="shared" si="27"/>
        <v>Alto Sedentarismo</v>
      </c>
    </row>
    <row r="849" spans="1:15" x14ac:dyDescent="0.3">
      <c r="A849">
        <v>8378563200</v>
      </c>
      <c r="B849" s="1">
        <v>42679</v>
      </c>
      <c r="C849">
        <v>9143</v>
      </c>
      <c r="D849" t="s">
        <v>151</v>
      </c>
      <c r="E849" s="2">
        <v>138999998569489</v>
      </c>
      <c r="F849" t="s">
        <v>59</v>
      </c>
      <c r="G849" s="2">
        <v>526999998092651</v>
      </c>
      <c r="H849">
        <v>0</v>
      </c>
      <c r="I849">
        <v>72</v>
      </c>
      <c r="J849">
        <v>10</v>
      </c>
      <c r="K849">
        <v>184</v>
      </c>
      <c r="L849">
        <v>763</v>
      </c>
      <c r="M849">
        <v>3788</v>
      </c>
      <c r="N849" t="str">
        <f t="shared" si="26"/>
        <v>Baja Actividad</v>
      </c>
      <c r="O849" t="str">
        <f t="shared" si="27"/>
        <v>Alto Sedentarismo</v>
      </c>
    </row>
    <row r="850" spans="1:15" x14ac:dyDescent="0.3">
      <c r="A850">
        <v>8378563200</v>
      </c>
      <c r="B850" s="1">
        <v>42709</v>
      </c>
      <c r="C850">
        <v>4561</v>
      </c>
      <c r="D850" s="2">
        <v>361999988555908</v>
      </c>
      <c r="E850" t="s">
        <v>138</v>
      </c>
      <c r="F850" t="s">
        <v>80</v>
      </c>
      <c r="G850" s="2">
        <v>269000005722046</v>
      </c>
      <c r="H850">
        <v>0</v>
      </c>
      <c r="I850">
        <v>8</v>
      </c>
      <c r="J850">
        <v>6</v>
      </c>
      <c r="K850">
        <v>102</v>
      </c>
      <c r="L850">
        <v>433</v>
      </c>
      <c r="M850">
        <v>1976</v>
      </c>
      <c r="N850" t="str">
        <f t="shared" si="26"/>
        <v>Baja Actividad</v>
      </c>
      <c r="O850" t="str">
        <f t="shared" si="27"/>
        <v>Bajo Sedentarismo</v>
      </c>
    </row>
    <row r="851" spans="1:15" x14ac:dyDescent="0.3">
      <c r="A851">
        <v>8583815059</v>
      </c>
      <c r="B851" s="1">
        <v>42708</v>
      </c>
      <c r="C851">
        <v>5014</v>
      </c>
      <c r="D851" s="2">
        <v>391000008583069</v>
      </c>
      <c r="E851">
        <v>0</v>
      </c>
      <c r="F851" t="s">
        <v>122</v>
      </c>
      <c r="G851" s="2">
        <v>357999992370605</v>
      </c>
      <c r="H851">
        <v>0</v>
      </c>
      <c r="I851">
        <v>0</v>
      </c>
      <c r="J851">
        <v>7</v>
      </c>
      <c r="K851">
        <v>196</v>
      </c>
      <c r="L851">
        <v>1237</v>
      </c>
      <c r="M851">
        <v>2650</v>
      </c>
      <c r="N851" t="str">
        <f t="shared" si="26"/>
        <v>Baja Actividad</v>
      </c>
      <c r="O851" t="str">
        <f t="shared" si="27"/>
        <v>Alto Sedentarismo</v>
      </c>
    </row>
    <row r="852" spans="1:15" x14ac:dyDescent="0.3">
      <c r="A852">
        <v>8583815059</v>
      </c>
      <c r="B852" t="s">
        <v>15</v>
      </c>
      <c r="C852">
        <v>5571</v>
      </c>
      <c r="D852" s="2">
        <v>434999990463257</v>
      </c>
      <c r="E852" t="s">
        <v>63</v>
      </c>
      <c r="F852" t="s">
        <v>52</v>
      </c>
      <c r="G852" s="2">
        <v>323000001907349</v>
      </c>
      <c r="H852">
        <v>0</v>
      </c>
      <c r="I852">
        <v>2</v>
      </c>
      <c r="J852">
        <v>23</v>
      </c>
      <c r="K852">
        <v>163</v>
      </c>
      <c r="L852">
        <v>1252</v>
      </c>
      <c r="M852">
        <v>2654</v>
      </c>
      <c r="N852" t="str">
        <f t="shared" si="26"/>
        <v>Baja Actividad</v>
      </c>
      <c r="O852" t="str">
        <f t="shared" si="27"/>
        <v>Alto Sedentarismo</v>
      </c>
    </row>
    <row r="853" spans="1:15" x14ac:dyDescent="0.3">
      <c r="A853">
        <v>8583815059</v>
      </c>
      <c r="B853" t="s">
        <v>17</v>
      </c>
      <c r="C853">
        <v>3135</v>
      </c>
      <c r="D853" s="2">
        <v>245000004768372</v>
      </c>
      <c r="E853">
        <v>0</v>
      </c>
      <c r="F853">
        <v>0</v>
      </c>
      <c r="G853" s="2">
        <v>24300000667572</v>
      </c>
      <c r="H853">
        <v>0</v>
      </c>
      <c r="I853">
        <v>0</v>
      </c>
      <c r="J853">
        <v>0</v>
      </c>
      <c r="K853">
        <v>134</v>
      </c>
      <c r="L853">
        <v>1306</v>
      </c>
      <c r="M853">
        <v>2443</v>
      </c>
      <c r="N853" t="str">
        <f t="shared" si="26"/>
        <v>Baja Actividad</v>
      </c>
      <c r="O853" t="str">
        <f t="shared" si="27"/>
        <v>Alto Sedentarismo</v>
      </c>
    </row>
    <row r="854" spans="1:15" x14ac:dyDescent="0.3">
      <c r="A854">
        <v>8583815059</v>
      </c>
      <c r="B854" t="s">
        <v>19</v>
      </c>
      <c r="C854">
        <v>3430</v>
      </c>
      <c r="D854" s="2">
        <v>26800000667572</v>
      </c>
      <c r="E854">
        <v>0</v>
      </c>
      <c r="F854">
        <v>0</v>
      </c>
      <c r="G854" t="s">
        <v>57</v>
      </c>
      <c r="H854">
        <v>0</v>
      </c>
      <c r="I854">
        <v>0</v>
      </c>
      <c r="J854">
        <v>0</v>
      </c>
      <c r="K854">
        <v>65</v>
      </c>
      <c r="L854">
        <v>1375</v>
      </c>
      <c r="M854">
        <v>2505</v>
      </c>
      <c r="N854" t="str">
        <f t="shared" si="26"/>
        <v>Baja Actividad</v>
      </c>
      <c r="O854" t="str">
        <f t="shared" si="27"/>
        <v>Alto Sedentarismo</v>
      </c>
    </row>
    <row r="855" spans="1:15" x14ac:dyDescent="0.3">
      <c r="A855">
        <v>8583815059</v>
      </c>
      <c r="B855" t="s">
        <v>20</v>
      </c>
      <c r="C855">
        <v>5319</v>
      </c>
      <c r="D855" s="2">
        <v>415000009536743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1440</v>
      </c>
      <c r="M855">
        <v>2693</v>
      </c>
      <c r="N855" t="str">
        <f t="shared" si="26"/>
        <v>Baja Actividad</v>
      </c>
      <c r="O855" t="str">
        <f t="shared" si="27"/>
        <v>Alto Sedentarismo</v>
      </c>
    </row>
    <row r="856" spans="1:15" x14ac:dyDescent="0.3">
      <c r="A856">
        <v>8583815059</v>
      </c>
      <c r="B856" t="s">
        <v>22</v>
      </c>
      <c r="C856">
        <v>3008</v>
      </c>
      <c r="D856" s="2">
        <v>234999990463257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1440</v>
      </c>
      <c r="M856">
        <v>2439</v>
      </c>
      <c r="N856" t="str">
        <f t="shared" si="26"/>
        <v>Baja Actividad</v>
      </c>
      <c r="O856" t="str">
        <f t="shared" si="27"/>
        <v>Alto Sedentarismo</v>
      </c>
    </row>
    <row r="857" spans="1:15" x14ac:dyDescent="0.3">
      <c r="A857">
        <v>8583815059</v>
      </c>
      <c r="B857" t="s">
        <v>24</v>
      </c>
      <c r="C857">
        <v>3864</v>
      </c>
      <c r="D857" s="2">
        <v>300999999046326</v>
      </c>
      <c r="E857" t="s">
        <v>75</v>
      </c>
      <c r="F857" s="2">
        <v>105999994277954</v>
      </c>
      <c r="G857" s="2">
        <v>135000002384186</v>
      </c>
      <c r="H857">
        <v>0</v>
      </c>
      <c r="I857">
        <v>4</v>
      </c>
      <c r="J857">
        <v>22</v>
      </c>
      <c r="K857">
        <v>105</v>
      </c>
      <c r="L857">
        <v>1309</v>
      </c>
      <c r="M857">
        <v>2536</v>
      </c>
      <c r="N857" t="str">
        <f t="shared" si="26"/>
        <v>Baja Actividad</v>
      </c>
      <c r="O857" t="str">
        <f t="shared" si="27"/>
        <v>Alto Sedentarismo</v>
      </c>
    </row>
    <row r="858" spans="1:15" x14ac:dyDescent="0.3">
      <c r="A858">
        <v>8583815059</v>
      </c>
      <c r="B858" t="s">
        <v>27</v>
      </c>
      <c r="C858">
        <v>5697</v>
      </c>
      <c r="D858" s="2">
        <v>444000005722046</v>
      </c>
      <c r="E858" t="s">
        <v>49</v>
      </c>
      <c r="F858" t="s">
        <v>29</v>
      </c>
      <c r="G858" s="2">
        <v>344000005722046</v>
      </c>
      <c r="H858">
        <v>0</v>
      </c>
      <c r="I858">
        <v>7</v>
      </c>
      <c r="J858">
        <v>10</v>
      </c>
      <c r="K858">
        <v>166</v>
      </c>
      <c r="L858">
        <v>1257</v>
      </c>
      <c r="M858">
        <v>2668</v>
      </c>
      <c r="N858" t="str">
        <f t="shared" si="26"/>
        <v>Baja Actividad</v>
      </c>
      <c r="O858" t="str">
        <f t="shared" si="27"/>
        <v>Alto Sedentarismo</v>
      </c>
    </row>
    <row r="859" spans="1:15" x14ac:dyDescent="0.3">
      <c r="A859">
        <v>8583815059</v>
      </c>
      <c r="B859" t="s">
        <v>28</v>
      </c>
      <c r="C859">
        <v>5273</v>
      </c>
      <c r="D859" s="2">
        <v>41100001335144</v>
      </c>
      <c r="E859">
        <v>0</v>
      </c>
      <c r="F859" s="2">
        <v>103999996185303</v>
      </c>
      <c r="G859" s="2">
        <v>30699999332428</v>
      </c>
      <c r="H859">
        <v>0</v>
      </c>
      <c r="I859">
        <v>0</v>
      </c>
      <c r="J859">
        <v>27</v>
      </c>
      <c r="K859">
        <v>167</v>
      </c>
      <c r="L859">
        <v>1246</v>
      </c>
      <c r="M859">
        <v>2647</v>
      </c>
      <c r="N859" t="str">
        <f t="shared" si="26"/>
        <v>Baja Actividad</v>
      </c>
      <c r="O859" t="str">
        <f t="shared" si="27"/>
        <v>Alto Sedentarismo</v>
      </c>
    </row>
    <row r="860" spans="1:15" x14ac:dyDescent="0.3">
      <c r="A860">
        <v>8583815059</v>
      </c>
      <c r="B860" t="s">
        <v>30</v>
      </c>
      <c r="C860">
        <v>8538</v>
      </c>
      <c r="D860" s="2">
        <v>665999984741211</v>
      </c>
      <c r="E860" s="2">
        <v>263000011444092</v>
      </c>
      <c r="F860" s="2">
        <v>101999998092651</v>
      </c>
      <c r="G860" s="2">
        <v>300999999046326</v>
      </c>
      <c r="H860">
        <v>0</v>
      </c>
      <c r="I860">
        <v>35</v>
      </c>
      <c r="J860">
        <v>18</v>
      </c>
      <c r="K860">
        <v>158</v>
      </c>
      <c r="L860">
        <v>1229</v>
      </c>
      <c r="M860">
        <v>2883</v>
      </c>
      <c r="N860" t="str">
        <f t="shared" si="26"/>
        <v>Baja Actividad</v>
      </c>
      <c r="O860" t="str">
        <f t="shared" si="27"/>
        <v>Alto Sedentarismo</v>
      </c>
    </row>
    <row r="861" spans="1:15" x14ac:dyDescent="0.3">
      <c r="A861">
        <v>8583815059</v>
      </c>
      <c r="B861" t="s">
        <v>32</v>
      </c>
      <c r="C861">
        <v>8687</v>
      </c>
      <c r="D861" s="2">
        <v>678000020980835</v>
      </c>
      <c r="E861" t="s">
        <v>131</v>
      </c>
      <c r="F861" s="2">
        <v>241000008583069</v>
      </c>
      <c r="G861" s="2">
        <v>407999992370605</v>
      </c>
      <c r="H861">
        <v>0</v>
      </c>
      <c r="I861">
        <v>4</v>
      </c>
      <c r="J861">
        <v>54</v>
      </c>
      <c r="K861">
        <v>212</v>
      </c>
      <c r="L861">
        <v>1170</v>
      </c>
      <c r="M861">
        <v>2944</v>
      </c>
      <c r="N861" t="str">
        <f t="shared" si="26"/>
        <v>Baja Actividad</v>
      </c>
      <c r="O861" t="str">
        <f t="shared" si="27"/>
        <v>Alto Sedentarismo</v>
      </c>
    </row>
    <row r="862" spans="1:15" x14ac:dyDescent="0.3">
      <c r="A862">
        <v>8583815059</v>
      </c>
      <c r="B862" t="s">
        <v>33</v>
      </c>
      <c r="C862">
        <v>9423</v>
      </c>
      <c r="D862" s="2">
        <v>734999990463257</v>
      </c>
      <c r="E862" t="s">
        <v>49</v>
      </c>
      <c r="F862" s="2">
        <v>202999997138977</v>
      </c>
      <c r="G862" t="s">
        <v>123</v>
      </c>
      <c r="H862">
        <v>0</v>
      </c>
      <c r="I862">
        <v>7</v>
      </c>
      <c r="J862">
        <v>44</v>
      </c>
      <c r="K862">
        <v>238</v>
      </c>
      <c r="L862">
        <v>1151</v>
      </c>
      <c r="M862">
        <v>3012</v>
      </c>
      <c r="N862" t="str">
        <f t="shared" si="26"/>
        <v>Baja Actividad</v>
      </c>
      <c r="O862" t="str">
        <f t="shared" si="27"/>
        <v>Alto Sedentarismo</v>
      </c>
    </row>
    <row r="863" spans="1:15" x14ac:dyDescent="0.3">
      <c r="A863">
        <v>8583815059</v>
      </c>
      <c r="B863" t="s">
        <v>35</v>
      </c>
      <c r="C863">
        <v>8286</v>
      </c>
      <c r="D863" s="2">
        <v>646000003814697</v>
      </c>
      <c r="E863" t="s">
        <v>63</v>
      </c>
      <c r="F863" s="2">
        <v>204999995231628</v>
      </c>
      <c r="G863" s="2">
        <v>426999998092651</v>
      </c>
      <c r="H863">
        <v>0</v>
      </c>
      <c r="I863">
        <v>2</v>
      </c>
      <c r="J863">
        <v>44</v>
      </c>
      <c r="K863">
        <v>206</v>
      </c>
      <c r="L863">
        <v>1188</v>
      </c>
      <c r="M863">
        <v>2889</v>
      </c>
      <c r="N863" t="str">
        <f t="shared" si="26"/>
        <v>Baja Actividad</v>
      </c>
      <c r="O863" t="str">
        <f t="shared" si="27"/>
        <v>Alto Sedentarismo</v>
      </c>
    </row>
    <row r="864" spans="1:15" x14ac:dyDescent="0.3">
      <c r="A864">
        <v>8583815059</v>
      </c>
      <c r="B864" t="s">
        <v>37</v>
      </c>
      <c r="C864">
        <v>4503</v>
      </c>
      <c r="D864" s="2">
        <v>350999999046326</v>
      </c>
      <c r="E864" s="2">
        <v>147000002861023</v>
      </c>
      <c r="F864" t="s">
        <v>72</v>
      </c>
      <c r="G864" s="2">
        <v>180999994277954</v>
      </c>
      <c r="H864">
        <v>0</v>
      </c>
      <c r="I864">
        <v>18</v>
      </c>
      <c r="J864">
        <v>6</v>
      </c>
      <c r="K864">
        <v>122</v>
      </c>
      <c r="L864">
        <v>1294</v>
      </c>
      <c r="M864">
        <v>2547</v>
      </c>
      <c r="N864" t="str">
        <f t="shared" si="26"/>
        <v>Baja Actividad</v>
      </c>
      <c r="O864" t="str">
        <f t="shared" si="27"/>
        <v>Alto Sedentarismo</v>
      </c>
    </row>
    <row r="865" spans="1:15" x14ac:dyDescent="0.3">
      <c r="A865">
        <v>8583815059</v>
      </c>
      <c r="B865" t="s">
        <v>39</v>
      </c>
      <c r="C865">
        <v>10499</v>
      </c>
      <c r="D865" s="2">
        <v>81899995803833</v>
      </c>
      <c r="E865" t="s">
        <v>74</v>
      </c>
      <c r="F865" s="2">
        <v>421999979019165</v>
      </c>
      <c r="G865" s="2">
        <v>389000010490417</v>
      </c>
      <c r="H865">
        <v>0</v>
      </c>
      <c r="I865">
        <v>1</v>
      </c>
      <c r="J865">
        <v>91</v>
      </c>
      <c r="K865">
        <v>214</v>
      </c>
      <c r="L865">
        <v>1134</v>
      </c>
      <c r="M865">
        <v>3093</v>
      </c>
      <c r="N865" t="str">
        <f t="shared" si="26"/>
        <v>Alta Actividad</v>
      </c>
      <c r="O865" t="str">
        <f t="shared" si="27"/>
        <v>Alto Sedentarismo</v>
      </c>
    </row>
    <row r="866" spans="1:15" x14ac:dyDescent="0.3">
      <c r="A866">
        <v>8583815059</v>
      </c>
      <c r="B866" t="s">
        <v>41</v>
      </c>
      <c r="C866">
        <v>12474</v>
      </c>
      <c r="D866" s="2">
        <v>972999954223633</v>
      </c>
      <c r="E866" s="2">
        <v>659999990463257</v>
      </c>
      <c r="F866" t="s">
        <v>80</v>
      </c>
      <c r="G866" s="2">
        <v>286999988555908</v>
      </c>
      <c r="H866">
        <v>0</v>
      </c>
      <c r="I866">
        <v>77</v>
      </c>
      <c r="J866">
        <v>5</v>
      </c>
      <c r="K866">
        <v>129</v>
      </c>
      <c r="L866">
        <v>1229</v>
      </c>
      <c r="M866">
        <v>3142</v>
      </c>
      <c r="N866" t="str">
        <f t="shared" si="26"/>
        <v>Alta Actividad</v>
      </c>
      <c r="O866" t="str">
        <f t="shared" si="27"/>
        <v>Alto Sedentarismo</v>
      </c>
    </row>
    <row r="867" spans="1:15" x14ac:dyDescent="0.3">
      <c r="A867">
        <v>8583815059</v>
      </c>
      <c r="B867" t="s">
        <v>42</v>
      </c>
      <c r="C867">
        <v>6174</v>
      </c>
      <c r="D867" s="2">
        <v>482000017166138</v>
      </c>
      <c r="E867">
        <v>0</v>
      </c>
      <c r="F867" s="2">
        <v>120000004768372</v>
      </c>
      <c r="G867" s="2">
        <v>360999989509583</v>
      </c>
      <c r="H867">
        <v>0</v>
      </c>
      <c r="I867">
        <v>0</v>
      </c>
      <c r="J867">
        <v>28</v>
      </c>
      <c r="K867">
        <v>203</v>
      </c>
      <c r="L867">
        <v>1209</v>
      </c>
      <c r="M867">
        <v>2757</v>
      </c>
      <c r="N867" t="str">
        <f t="shared" si="26"/>
        <v>Baja Actividad</v>
      </c>
      <c r="O867" t="str">
        <f t="shared" si="27"/>
        <v>Alto Sedentarismo</v>
      </c>
    </row>
    <row r="868" spans="1:15" x14ac:dyDescent="0.3">
      <c r="A868">
        <v>8583815059</v>
      </c>
      <c r="B868" t="s">
        <v>43</v>
      </c>
      <c r="C868">
        <v>15168</v>
      </c>
      <c r="D868" s="2">
        <v>118299999237061</v>
      </c>
      <c r="E868" s="2">
        <v>390000009536743</v>
      </c>
      <c r="F868">
        <v>3</v>
      </c>
      <c r="G868" s="2">
        <v>492000007629395</v>
      </c>
      <c r="H868">
        <v>0</v>
      </c>
      <c r="I868">
        <v>46</v>
      </c>
      <c r="J868">
        <v>67</v>
      </c>
      <c r="K868">
        <v>258</v>
      </c>
      <c r="L868">
        <v>1069</v>
      </c>
      <c r="M868">
        <v>3513</v>
      </c>
      <c r="N868" t="str">
        <f t="shared" si="26"/>
        <v>Alta Actividad</v>
      </c>
      <c r="O868" t="str">
        <f t="shared" si="27"/>
        <v>Alto Sedentarismo</v>
      </c>
    </row>
    <row r="869" spans="1:15" x14ac:dyDescent="0.3">
      <c r="A869">
        <v>8583815059</v>
      </c>
      <c r="B869" t="s">
        <v>45</v>
      </c>
      <c r="C869">
        <v>10085</v>
      </c>
      <c r="D869" s="2">
        <v>786999988555908</v>
      </c>
      <c r="E869" t="s">
        <v>63</v>
      </c>
      <c r="F869" s="2">
        <v>127999997138977</v>
      </c>
      <c r="G869" s="2">
        <v>642999982833862</v>
      </c>
      <c r="H869">
        <v>0</v>
      </c>
      <c r="I869">
        <v>2</v>
      </c>
      <c r="J869">
        <v>28</v>
      </c>
      <c r="K869">
        <v>317</v>
      </c>
      <c r="L869">
        <v>1093</v>
      </c>
      <c r="M869">
        <v>3164</v>
      </c>
      <c r="N869" t="str">
        <f t="shared" si="26"/>
        <v>Alta Actividad</v>
      </c>
      <c r="O869" t="str">
        <f t="shared" si="27"/>
        <v>Alto Sedentarismo</v>
      </c>
    </row>
    <row r="870" spans="1:15" x14ac:dyDescent="0.3">
      <c r="A870">
        <v>8583815059</v>
      </c>
      <c r="B870" s="1">
        <v>42374</v>
      </c>
      <c r="C870">
        <v>4512</v>
      </c>
      <c r="D870" s="2">
        <v>351999998092651</v>
      </c>
      <c r="E870" t="s">
        <v>23</v>
      </c>
      <c r="F870" t="s">
        <v>87</v>
      </c>
      <c r="G870" s="2">
        <v>203999996185303</v>
      </c>
      <c r="H870">
        <v>0</v>
      </c>
      <c r="I870">
        <v>10</v>
      </c>
      <c r="J870">
        <v>2</v>
      </c>
      <c r="K870">
        <v>117</v>
      </c>
      <c r="L870">
        <v>1311</v>
      </c>
      <c r="M870">
        <v>2596</v>
      </c>
      <c r="N870" t="str">
        <f t="shared" si="26"/>
        <v>Baja Actividad</v>
      </c>
      <c r="O870" t="str">
        <f t="shared" si="27"/>
        <v>Alto Sedentarismo</v>
      </c>
    </row>
    <row r="871" spans="1:15" x14ac:dyDescent="0.3">
      <c r="A871">
        <v>8583815059</v>
      </c>
      <c r="B871" s="1">
        <v>42405</v>
      </c>
      <c r="C871">
        <v>8469</v>
      </c>
      <c r="D871" s="2">
        <v>66100001335144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1440</v>
      </c>
      <c r="M871">
        <v>2894</v>
      </c>
      <c r="N871" t="str">
        <f t="shared" si="26"/>
        <v>Baja Actividad</v>
      </c>
      <c r="O871" t="str">
        <f t="shared" si="27"/>
        <v>Alto Sedentarismo</v>
      </c>
    </row>
    <row r="872" spans="1:15" x14ac:dyDescent="0.3">
      <c r="A872">
        <v>8583815059</v>
      </c>
      <c r="B872" s="1">
        <v>42434</v>
      </c>
      <c r="C872">
        <v>12015</v>
      </c>
      <c r="D872" s="2">
        <v>936999988555908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1440</v>
      </c>
      <c r="M872">
        <v>3212</v>
      </c>
      <c r="N872" t="str">
        <f t="shared" si="26"/>
        <v>Alta Actividad</v>
      </c>
      <c r="O872" t="str">
        <f t="shared" si="27"/>
        <v>Alto Sedentarismo</v>
      </c>
    </row>
    <row r="873" spans="1:15" x14ac:dyDescent="0.3">
      <c r="A873">
        <v>8583815059</v>
      </c>
      <c r="B873" s="1">
        <v>42465</v>
      </c>
      <c r="C873">
        <v>3588</v>
      </c>
      <c r="D873" s="2">
        <v>279999995231628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1440</v>
      </c>
      <c r="M873">
        <v>2516</v>
      </c>
      <c r="N873" t="str">
        <f t="shared" si="26"/>
        <v>Baja Actividad</v>
      </c>
      <c r="O873" t="str">
        <f t="shared" si="27"/>
        <v>Alto Sedentarismo</v>
      </c>
    </row>
    <row r="874" spans="1:15" x14ac:dyDescent="0.3">
      <c r="A874">
        <v>8583815059</v>
      </c>
      <c r="B874" s="1">
        <v>42495</v>
      </c>
      <c r="C874">
        <v>12427</v>
      </c>
      <c r="D874" s="2">
        <v>96899995803833</v>
      </c>
      <c r="E874">
        <v>0</v>
      </c>
      <c r="F874">
        <v>0</v>
      </c>
      <c r="G874" s="2">
        <v>117999994754791</v>
      </c>
      <c r="H874">
        <v>0</v>
      </c>
      <c r="I874">
        <v>0</v>
      </c>
      <c r="J874">
        <v>0</v>
      </c>
      <c r="K874">
        <v>70</v>
      </c>
      <c r="L874">
        <v>1370</v>
      </c>
      <c r="M874">
        <v>3266</v>
      </c>
      <c r="N874" t="str">
        <f t="shared" si="26"/>
        <v>Alta Actividad</v>
      </c>
      <c r="O874" t="str">
        <f t="shared" si="27"/>
        <v>Alto Sedentarismo</v>
      </c>
    </row>
    <row r="875" spans="1:15" x14ac:dyDescent="0.3">
      <c r="A875">
        <v>8583815059</v>
      </c>
      <c r="B875" s="1">
        <v>42526</v>
      </c>
      <c r="C875">
        <v>5843</v>
      </c>
      <c r="D875" s="2">
        <v>455999994277954</v>
      </c>
      <c r="E875" t="s">
        <v>60</v>
      </c>
      <c r="F875" s="2">
        <v>119000005722046</v>
      </c>
      <c r="G875" s="2">
        <v>323000001907349</v>
      </c>
      <c r="H875">
        <v>0</v>
      </c>
      <c r="I875">
        <v>2</v>
      </c>
      <c r="J875">
        <v>22</v>
      </c>
      <c r="K875">
        <v>166</v>
      </c>
      <c r="L875">
        <v>1250</v>
      </c>
      <c r="M875">
        <v>2683</v>
      </c>
      <c r="N875" t="str">
        <f t="shared" si="26"/>
        <v>Baja Actividad</v>
      </c>
      <c r="O875" t="str">
        <f t="shared" si="27"/>
        <v>Alto Sedentarismo</v>
      </c>
    </row>
    <row r="876" spans="1:15" x14ac:dyDescent="0.3">
      <c r="A876">
        <v>8583815059</v>
      </c>
      <c r="B876" s="1">
        <v>42556</v>
      </c>
      <c r="C876">
        <v>6117</v>
      </c>
      <c r="D876" s="2">
        <v>476999998092651</v>
      </c>
      <c r="E876">
        <v>0</v>
      </c>
      <c r="F876">
        <v>0</v>
      </c>
      <c r="G876" s="2">
        <v>476999998092651</v>
      </c>
      <c r="H876">
        <v>0</v>
      </c>
      <c r="I876">
        <v>0</v>
      </c>
      <c r="J876">
        <v>0</v>
      </c>
      <c r="K876">
        <v>250</v>
      </c>
      <c r="L876">
        <v>1190</v>
      </c>
      <c r="M876">
        <v>2810</v>
      </c>
      <c r="N876" t="str">
        <f t="shared" si="26"/>
        <v>Baja Actividad</v>
      </c>
      <c r="O876" t="str">
        <f t="shared" si="27"/>
        <v>Alto Sedentarismo</v>
      </c>
    </row>
    <row r="877" spans="1:15" x14ac:dyDescent="0.3">
      <c r="A877">
        <v>8583815059</v>
      </c>
      <c r="B877" s="1">
        <v>42587</v>
      </c>
      <c r="C877">
        <v>9217</v>
      </c>
      <c r="D877" s="2">
        <v>719000005722046</v>
      </c>
      <c r="E877" t="s">
        <v>62</v>
      </c>
      <c r="F877" s="2">
        <v>330999994277954</v>
      </c>
      <c r="G877" s="2">
        <v>366000008583069</v>
      </c>
      <c r="H877">
        <v>0</v>
      </c>
      <c r="I877">
        <v>3</v>
      </c>
      <c r="J877">
        <v>72</v>
      </c>
      <c r="K877">
        <v>182</v>
      </c>
      <c r="L877">
        <v>1183</v>
      </c>
      <c r="M877">
        <v>2940</v>
      </c>
      <c r="N877" t="str">
        <f t="shared" si="26"/>
        <v>Baja Actividad</v>
      </c>
      <c r="O877" t="str">
        <f t="shared" si="27"/>
        <v>Alto Sedentarismo</v>
      </c>
    </row>
    <row r="878" spans="1:15" x14ac:dyDescent="0.3">
      <c r="A878">
        <v>8583815059</v>
      </c>
      <c r="B878" s="1">
        <v>42618</v>
      </c>
      <c r="C878">
        <v>9877</v>
      </c>
      <c r="D878" s="2">
        <v>769999980926514</v>
      </c>
      <c r="E878" s="2">
        <v>576000022888184</v>
      </c>
      <c r="F878" t="s">
        <v>92</v>
      </c>
      <c r="G878" s="2">
        <v>173000001907349</v>
      </c>
      <c r="H878">
        <v>0</v>
      </c>
      <c r="I878">
        <v>66</v>
      </c>
      <c r="J878">
        <v>4</v>
      </c>
      <c r="K878">
        <v>110</v>
      </c>
      <c r="L878">
        <v>1260</v>
      </c>
      <c r="M878">
        <v>2947</v>
      </c>
      <c r="N878" t="str">
        <f t="shared" si="26"/>
        <v>Baja Actividad</v>
      </c>
      <c r="O878" t="str">
        <f t="shared" si="27"/>
        <v>Alto Sedentarismo</v>
      </c>
    </row>
    <row r="879" spans="1:15" x14ac:dyDescent="0.3">
      <c r="A879">
        <v>8583815059</v>
      </c>
      <c r="B879" s="1">
        <v>42648</v>
      </c>
      <c r="C879">
        <v>8240</v>
      </c>
      <c r="D879" s="2">
        <v>642999982833862</v>
      </c>
      <c r="E879" t="s">
        <v>16</v>
      </c>
      <c r="F879" s="2">
        <v>200999999046326</v>
      </c>
      <c r="G879" s="2">
        <v>372000002861023</v>
      </c>
      <c r="H879">
        <v>0</v>
      </c>
      <c r="I879">
        <v>9</v>
      </c>
      <c r="J879">
        <v>43</v>
      </c>
      <c r="K879">
        <v>162</v>
      </c>
      <c r="L879">
        <v>1226</v>
      </c>
      <c r="M879">
        <v>2846</v>
      </c>
      <c r="N879" t="str">
        <f t="shared" si="26"/>
        <v>Baja Actividad</v>
      </c>
      <c r="O879" t="str">
        <f t="shared" si="27"/>
        <v>Alto Sedentarismo</v>
      </c>
    </row>
    <row r="880" spans="1:15" x14ac:dyDescent="0.3">
      <c r="A880">
        <v>8583815059</v>
      </c>
      <c r="B880" s="1">
        <v>42679</v>
      </c>
      <c r="C880">
        <v>8701</v>
      </c>
      <c r="D880" s="2">
        <v>678999996185303</v>
      </c>
      <c r="E880" t="s">
        <v>117</v>
      </c>
      <c r="F880" s="2">
        <v>324000000953674</v>
      </c>
      <c r="G880" s="2">
        <v>317000007629395</v>
      </c>
      <c r="H880">
        <v>0</v>
      </c>
      <c r="I880">
        <v>5</v>
      </c>
      <c r="J880">
        <v>71</v>
      </c>
      <c r="K880">
        <v>177</v>
      </c>
      <c r="L880">
        <v>1106</v>
      </c>
      <c r="M880">
        <v>2804</v>
      </c>
      <c r="N880" t="str">
        <f t="shared" si="26"/>
        <v>Baja Actividad</v>
      </c>
      <c r="O880" t="str">
        <f t="shared" si="27"/>
        <v>Alto Sedentarismo</v>
      </c>
    </row>
    <row r="881" spans="1:15" x14ac:dyDescent="0.3">
      <c r="A881">
        <v>8583815059</v>
      </c>
      <c r="B881" s="1">
        <v>42709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1440</v>
      </c>
      <c r="M881">
        <v>0</v>
      </c>
      <c r="N881" t="str">
        <f t="shared" si="26"/>
        <v>Baja Actividad</v>
      </c>
      <c r="O881" t="str">
        <f t="shared" si="27"/>
        <v>Alto Sedentarismo</v>
      </c>
    </row>
    <row r="882" spans="1:15" x14ac:dyDescent="0.3">
      <c r="A882">
        <v>8792009665</v>
      </c>
      <c r="B882" s="1">
        <v>42708</v>
      </c>
      <c r="C882">
        <v>2564</v>
      </c>
      <c r="D882" s="2">
        <v>163999998569489</v>
      </c>
      <c r="E882">
        <v>0</v>
      </c>
      <c r="F882">
        <v>0</v>
      </c>
      <c r="G882" s="2">
        <v>163999998569489</v>
      </c>
      <c r="H882">
        <v>0</v>
      </c>
      <c r="I882">
        <v>0</v>
      </c>
      <c r="J882">
        <v>0</v>
      </c>
      <c r="K882">
        <v>116</v>
      </c>
      <c r="L882">
        <v>831</v>
      </c>
      <c r="M882">
        <v>2044</v>
      </c>
      <c r="N882" t="str">
        <f t="shared" si="26"/>
        <v>Baja Actividad</v>
      </c>
      <c r="O882" t="str">
        <f t="shared" si="27"/>
        <v>Alto Sedentarismo</v>
      </c>
    </row>
    <row r="883" spans="1:15" x14ac:dyDescent="0.3">
      <c r="A883">
        <v>8792009665</v>
      </c>
      <c r="B883" t="s">
        <v>15</v>
      </c>
      <c r="C883">
        <v>1320</v>
      </c>
      <c r="D883" t="s">
        <v>124</v>
      </c>
      <c r="E883">
        <v>0</v>
      </c>
      <c r="F883">
        <v>0</v>
      </c>
      <c r="G883" t="s">
        <v>124</v>
      </c>
      <c r="H883">
        <v>0</v>
      </c>
      <c r="I883">
        <v>0</v>
      </c>
      <c r="J883">
        <v>0</v>
      </c>
      <c r="K883">
        <v>82</v>
      </c>
      <c r="L883">
        <v>806</v>
      </c>
      <c r="M883">
        <v>1934</v>
      </c>
      <c r="N883" t="str">
        <f t="shared" si="26"/>
        <v>Baja Actividad</v>
      </c>
      <c r="O883" t="str">
        <f t="shared" si="27"/>
        <v>Alto Sedentarismo</v>
      </c>
    </row>
    <row r="884" spans="1:15" x14ac:dyDescent="0.3">
      <c r="A884">
        <v>8792009665</v>
      </c>
      <c r="B884" t="s">
        <v>17</v>
      </c>
      <c r="C884">
        <v>1219</v>
      </c>
      <c r="D884" t="s">
        <v>23</v>
      </c>
      <c r="E884">
        <v>0</v>
      </c>
      <c r="F884">
        <v>0</v>
      </c>
      <c r="G884" t="s">
        <v>23</v>
      </c>
      <c r="H884">
        <v>0</v>
      </c>
      <c r="I884">
        <v>0</v>
      </c>
      <c r="J884">
        <v>0</v>
      </c>
      <c r="K884">
        <v>84</v>
      </c>
      <c r="L884">
        <v>853</v>
      </c>
      <c r="M884">
        <v>1963</v>
      </c>
      <c r="N884" t="str">
        <f t="shared" si="26"/>
        <v>Baja Actividad</v>
      </c>
      <c r="O884" t="str">
        <f t="shared" si="27"/>
        <v>Alto Sedentarismo</v>
      </c>
    </row>
    <row r="885" spans="1:15" x14ac:dyDescent="0.3">
      <c r="A885">
        <v>8792009665</v>
      </c>
      <c r="B885" t="s">
        <v>19</v>
      </c>
      <c r="C885">
        <v>2483</v>
      </c>
      <c r="D885" s="2">
        <v>15900000333786</v>
      </c>
      <c r="E885">
        <v>0</v>
      </c>
      <c r="F885">
        <v>0</v>
      </c>
      <c r="G885" s="2">
        <v>15900000333786</v>
      </c>
      <c r="H885">
        <v>0</v>
      </c>
      <c r="I885">
        <v>0</v>
      </c>
      <c r="J885">
        <v>0</v>
      </c>
      <c r="K885">
        <v>126</v>
      </c>
      <c r="L885">
        <v>937</v>
      </c>
      <c r="M885">
        <v>2009</v>
      </c>
      <c r="N885" t="str">
        <f t="shared" si="26"/>
        <v>Baja Actividad</v>
      </c>
      <c r="O885" t="str">
        <f t="shared" si="27"/>
        <v>Alto Sedentarismo</v>
      </c>
    </row>
    <row r="886" spans="1:15" x14ac:dyDescent="0.3">
      <c r="A886">
        <v>8792009665</v>
      </c>
      <c r="B886" t="s">
        <v>20</v>
      </c>
      <c r="C886">
        <v>244</v>
      </c>
      <c r="D886" t="s">
        <v>113</v>
      </c>
      <c r="E886">
        <v>0</v>
      </c>
      <c r="F886">
        <v>0</v>
      </c>
      <c r="G886" t="s">
        <v>113</v>
      </c>
      <c r="H886">
        <v>0</v>
      </c>
      <c r="I886">
        <v>0</v>
      </c>
      <c r="J886">
        <v>0</v>
      </c>
      <c r="K886">
        <v>12</v>
      </c>
      <c r="L886">
        <v>1428</v>
      </c>
      <c r="M886">
        <v>1721</v>
      </c>
      <c r="N886" t="str">
        <f t="shared" si="26"/>
        <v>Baja Actividad</v>
      </c>
      <c r="O886" t="str">
        <f t="shared" si="27"/>
        <v>Alto Sedentarismo</v>
      </c>
    </row>
    <row r="887" spans="1:15" x14ac:dyDescent="0.3">
      <c r="A887">
        <v>8792009665</v>
      </c>
      <c r="B887" t="s">
        <v>22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1440</v>
      </c>
      <c r="M887">
        <v>1688</v>
      </c>
      <c r="N887" t="str">
        <f t="shared" si="26"/>
        <v>Baja Actividad</v>
      </c>
      <c r="O887" t="str">
        <f t="shared" si="27"/>
        <v>Alto Sedentarismo</v>
      </c>
    </row>
    <row r="888" spans="1:15" x14ac:dyDescent="0.3">
      <c r="A888">
        <v>8792009665</v>
      </c>
      <c r="B888" t="s">
        <v>24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1440</v>
      </c>
      <c r="M888">
        <v>1688</v>
      </c>
      <c r="N888" t="str">
        <f t="shared" si="26"/>
        <v>Baja Actividad</v>
      </c>
      <c r="O888" t="str">
        <f t="shared" si="27"/>
        <v>Alto Sedentarismo</v>
      </c>
    </row>
    <row r="889" spans="1:15" x14ac:dyDescent="0.3">
      <c r="A889">
        <v>8792009665</v>
      </c>
      <c r="B889" t="s">
        <v>27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1440</v>
      </c>
      <c r="M889">
        <v>1688</v>
      </c>
      <c r="N889" t="str">
        <f t="shared" si="26"/>
        <v>Baja Actividad</v>
      </c>
      <c r="O889" t="str">
        <f t="shared" si="27"/>
        <v>Alto Sedentarismo</v>
      </c>
    </row>
    <row r="890" spans="1:15" x14ac:dyDescent="0.3">
      <c r="A890">
        <v>8792009665</v>
      </c>
      <c r="B890" t="s">
        <v>28</v>
      </c>
      <c r="C890">
        <v>3147</v>
      </c>
      <c r="D890" s="2">
        <v>200999999046326</v>
      </c>
      <c r="E890">
        <v>0</v>
      </c>
      <c r="F890" t="s">
        <v>119</v>
      </c>
      <c r="G890" s="2">
        <v>174000000953674</v>
      </c>
      <c r="H890">
        <v>0</v>
      </c>
      <c r="I890">
        <v>0</v>
      </c>
      <c r="J890">
        <v>10</v>
      </c>
      <c r="K890">
        <v>139</v>
      </c>
      <c r="L890">
        <v>744</v>
      </c>
      <c r="M890">
        <v>2188</v>
      </c>
      <c r="N890" t="str">
        <f t="shared" si="26"/>
        <v>Baja Actividad</v>
      </c>
      <c r="O890" t="str">
        <f t="shared" si="27"/>
        <v>Alto Sedentarismo</v>
      </c>
    </row>
    <row r="891" spans="1:15" x14ac:dyDescent="0.3">
      <c r="A891">
        <v>8792009665</v>
      </c>
      <c r="B891" t="s">
        <v>30</v>
      </c>
      <c r="C891">
        <v>144</v>
      </c>
      <c r="D891" t="s">
        <v>125</v>
      </c>
      <c r="E891">
        <v>0</v>
      </c>
      <c r="F891">
        <v>0</v>
      </c>
      <c r="G891" t="s">
        <v>125</v>
      </c>
      <c r="H891">
        <v>0</v>
      </c>
      <c r="I891">
        <v>0</v>
      </c>
      <c r="J891">
        <v>0</v>
      </c>
      <c r="K891">
        <v>9</v>
      </c>
      <c r="L891">
        <v>1431</v>
      </c>
      <c r="M891">
        <v>1720</v>
      </c>
      <c r="N891" t="str">
        <f t="shared" si="26"/>
        <v>Baja Actividad</v>
      </c>
      <c r="O891" t="str">
        <f t="shared" si="27"/>
        <v>Alto Sedentarismo</v>
      </c>
    </row>
    <row r="892" spans="1:15" x14ac:dyDescent="0.3">
      <c r="A892">
        <v>8792009665</v>
      </c>
      <c r="B892" t="s">
        <v>32</v>
      </c>
      <c r="C892">
        <v>4068</v>
      </c>
      <c r="D892" s="2">
        <v>259999990463257</v>
      </c>
      <c r="E892" t="s">
        <v>126</v>
      </c>
      <c r="F892" t="s">
        <v>119</v>
      </c>
      <c r="G892" s="2">
        <v>226999998092651</v>
      </c>
      <c r="H892">
        <v>0</v>
      </c>
      <c r="I892">
        <v>1</v>
      </c>
      <c r="J892">
        <v>20</v>
      </c>
      <c r="K892">
        <v>195</v>
      </c>
      <c r="L892">
        <v>817</v>
      </c>
      <c r="M892">
        <v>2419</v>
      </c>
      <c r="N892" t="str">
        <f t="shared" si="26"/>
        <v>Baja Actividad</v>
      </c>
      <c r="O892" t="str">
        <f t="shared" si="27"/>
        <v>Alto Sedentarismo</v>
      </c>
    </row>
    <row r="893" spans="1:15" x14ac:dyDescent="0.3">
      <c r="A893">
        <v>8792009665</v>
      </c>
      <c r="B893" t="s">
        <v>33</v>
      </c>
      <c r="C893">
        <v>5245</v>
      </c>
      <c r="D893" s="2">
        <v>335999989509583</v>
      </c>
      <c r="E893" t="s">
        <v>113</v>
      </c>
      <c r="F893" t="s">
        <v>134</v>
      </c>
      <c r="G893" t="s">
        <v>148</v>
      </c>
      <c r="H893">
        <v>0</v>
      </c>
      <c r="I893">
        <v>8</v>
      </c>
      <c r="J893">
        <v>45</v>
      </c>
      <c r="K893">
        <v>232</v>
      </c>
      <c r="L893">
        <v>795</v>
      </c>
      <c r="M893">
        <v>2748</v>
      </c>
      <c r="N893" t="str">
        <f t="shared" si="26"/>
        <v>Baja Actividad</v>
      </c>
      <c r="O893" t="str">
        <f t="shared" si="27"/>
        <v>Alto Sedentarismo</v>
      </c>
    </row>
    <row r="894" spans="1:15" x14ac:dyDescent="0.3">
      <c r="A894">
        <v>8792009665</v>
      </c>
      <c r="B894" t="s">
        <v>35</v>
      </c>
      <c r="C894">
        <v>400</v>
      </c>
      <c r="D894" t="s">
        <v>85</v>
      </c>
      <c r="E894" t="s">
        <v>133</v>
      </c>
      <c r="F894" t="s">
        <v>126</v>
      </c>
      <c r="G894" t="s">
        <v>113</v>
      </c>
      <c r="H894">
        <v>0</v>
      </c>
      <c r="I894">
        <v>3</v>
      </c>
      <c r="J894">
        <v>8</v>
      </c>
      <c r="K894">
        <v>19</v>
      </c>
      <c r="L894">
        <v>1410</v>
      </c>
      <c r="M894">
        <v>1799</v>
      </c>
      <c r="N894" t="str">
        <f t="shared" si="26"/>
        <v>Baja Actividad</v>
      </c>
      <c r="O894" t="str">
        <f t="shared" si="27"/>
        <v>Alto Sedentarismo</v>
      </c>
    </row>
    <row r="895" spans="1:15" x14ac:dyDescent="0.3">
      <c r="A895">
        <v>8792009665</v>
      </c>
      <c r="B895" t="s">
        <v>37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1440</v>
      </c>
      <c r="M895">
        <v>1688</v>
      </c>
      <c r="N895" t="str">
        <f t="shared" si="26"/>
        <v>Baja Actividad</v>
      </c>
      <c r="O895" t="str">
        <f t="shared" si="27"/>
        <v>Alto Sedentarismo</v>
      </c>
    </row>
    <row r="896" spans="1:15" x14ac:dyDescent="0.3">
      <c r="A896">
        <v>8792009665</v>
      </c>
      <c r="B896" t="s">
        <v>39</v>
      </c>
      <c r="C896">
        <v>1321</v>
      </c>
      <c r="D896" t="s">
        <v>144</v>
      </c>
      <c r="E896">
        <v>0</v>
      </c>
      <c r="F896">
        <v>0</v>
      </c>
      <c r="G896" t="s">
        <v>144</v>
      </c>
      <c r="H896">
        <v>0</v>
      </c>
      <c r="I896">
        <v>0</v>
      </c>
      <c r="J896">
        <v>0</v>
      </c>
      <c r="K896">
        <v>80</v>
      </c>
      <c r="L896">
        <v>1360</v>
      </c>
      <c r="M896">
        <v>1928</v>
      </c>
      <c r="N896" t="str">
        <f t="shared" si="26"/>
        <v>Baja Actividad</v>
      </c>
      <c r="O896" t="str">
        <f t="shared" si="27"/>
        <v>Alto Sedentarismo</v>
      </c>
    </row>
    <row r="897" spans="1:15" x14ac:dyDescent="0.3">
      <c r="A897">
        <v>8792009665</v>
      </c>
      <c r="B897" t="s">
        <v>41</v>
      </c>
      <c r="C897">
        <v>1758</v>
      </c>
      <c r="D897" s="2">
        <v>112999999523163</v>
      </c>
      <c r="E897">
        <v>0</v>
      </c>
      <c r="F897">
        <v>0</v>
      </c>
      <c r="G897" s="2">
        <v>112999999523163</v>
      </c>
      <c r="H897">
        <v>0</v>
      </c>
      <c r="I897">
        <v>0</v>
      </c>
      <c r="J897">
        <v>0</v>
      </c>
      <c r="K897">
        <v>112</v>
      </c>
      <c r="L897">
        <v>900</v>
      </c>
      <c r="M897">
        <v>2067</v>
      </c>
      <c r="N897" t="str">
        <f t="shared" si="26"/>
        <v>Baja Actividad</v>
      </c>
      <c r="O897" t="str">
        <f t="shared" si="27"/>
        <v>Alto Sedentarismo</v>
      </c>
    </row>
    <row r="898" spans="1:15" x14ac:dyDescent="0.3">
      <c r="A898">
        <v>8792009665</v>
      </c>
      <c r="B898" t="s">
        <v>42</v>
      </c>
      <c r="C898">
        <v>6157</v>
      </c>
      <c r="D898" s="2">
        <v>394000005722046</v>
      </c>
      <c r="E898">
        <v>0</v>
      </c>
      <c r="F898">
        <v>0</v>
      </c>
      <c r="G898" s="2">
        <v>394000005722046</v>
      </c>
      <c r="H898">
        <v>0</v>
      </c>
      <c r="I898">
        <v>0</v>
      </c>
      <c r="J898">
        <v>0</v>
      </c>
      <c r="K898">
        <v>310</v>
      </c>
      <c r="L898">
        <v>714</v>
      </c>
      <c r="M898">
        <v>2780</v>
      </c>
      <c r="N898" t="str">
        <f t="shared" si="26"/>
        <v>Baja Actividad</v>
      </c>
      <c r="O898" t="str">
        <f t="shared" si="27"/>
        <v>Alto Sedentarismo</v>
      </c>
    </row>
    <row r="899" spans="1:15" x14ac:dyDescent="0.3">
      <c r="A899">
        <v>8792009665</v>
      </c>
      <c r="B899" t="s">
        <v>43</v>
      </c>
      <c r="C899">
        <v>8360</v>
      </c>
      <c r="D899" s="2">
        <v>534999990463257</v>
      </c>
      <c r="E899" t="s">
        <v>60</v>
      </c>
      <c r="F899" t="s">
        <v>119</v>
      </c>
      <c r="G899" s="2">
        <v>492999982833862</v>
      </c>
      <c r="H899">
        <v>0</v>
      </c>
      <c r="I899">
        <v>6</v>
      </c>
      <c r="J899">
        <v>14</v>
      </c>
      <c r="K899">
        <v>380</v>
      </c>
      <c r="L899">
        <v>634</v>
      </c>
      <c r="M899">
        <v>3101</v>
      </c>
      <c r="N899" t="str">
        <f t="shared" ref="N899:N941" si="28">IF(C899&gt;=10000, "Alta Actividad", "Baja Actividad")</f>
        <v>Baja Actividad</v>
      </c>
      <c r="O899" t="str">
        <f t="shared" ref="O899:O941" si="29">IF(L899&gt;=700, "Alto Sedentarismo",  "Bajo Sedentarismo")</f>
        <v>Bajo Sedentarismo</v>
      </c>
    </row>
    <row r="900" spans="1:15" x14ac:dyDescent="0.3">
      <c r="A900">
        <v>8792009665</v>
      </c>
      <c r="B900" t="s">
        <v>45</v>
      </c>
      <c r="C900">
        <v>7174</v>
      </c>
      <c r="D900" s="2">
        <v>459000015258789</v>
      </c>
      <c r="E900" t="s">
        <v>122</v>
      </c>
      <c r="F900" t="s">
        <v>61</v>
      </c>
      <c r="G900" s="2">
        <v>391000008583069</v>
      </c>
      <c r="H900">
        <v>0</v>
      </c>
      <c r="I900">
        <v>10</v>
      </c>
      <c r="J900">
        <v>20</v>
      </c>
      <c r="K900">
        <v>301</v>
      </c>
      <c r="L900">
        <v>749</v>
      </c>
      <c r="M900">
        <v>2896</v>
      </c>
      <c r="N900" t="str">
        <f t="shared" si="28"/>
        <v>Baja Actividad</v>
      </c>
      <c r="O900" t="str">
        <f t="shared" si="29"/>
        <v>Alto Sedentarismo</v>
      </c>
    </row>
    <row r="901" spans="1:15" x14ac:dyDescent="0.3">
      <c r="A901">
        <v>8792009665</v>
      </c>
      <c r="B901" s="1">
        <v>42374</v>
      </c>
      <c r="C901">
        <v>1619</v>
      </c>
      <c r="D901" s="2">
        <v>103999996185303</v>
      </c>
      <c r="E901">
        <v>0</v>
      </c>
      <c r="F901">
        <v>0</v>
      </c>
      <c r="G901" s="2">
        <v>103999996185303</v>
      </c>
      <c r="H901">
        <v>0</v>
      </c>
      <c r="I901">
        <v>0</v>
      </c>
      <c r="J901">
        <v>0</v>
      </c>
      <c r="K901">
        <v>79</v>
      </c>
      <c r="L901">
        <v>834</v>
      </c>
      <c r="M901">
        <v>1962</v>
      </c>
      <c r="N901" t="str">
        <f t="shared" si="28"/>
        <v>Baja Actividad</v>
      </c>
      <c r="O901" t="str">
        <f t="shared" si="29"/>
        <v>Alto Sedentarismo</v>
      </c>
    </row>
    <row r="902" spans="1:15" x14ac:dyDescent="0.3">
      <c r="A902">
        <v>8792009665</v>
      </c>
      <c r="B902" s="1">
        <v>42405</v>
      </c>
      <c r="C902">
        <v>1831</v>
      </c>
      <c r="D902" s="2">
        <v>116999995708466</v>
      </c>
      <c r="E902">
        <v>0</v>
      </c>
      <c r="F902">
        <v>0</v>
      </c>
      <c r="G902" s="2">
        <v>116999995708466</v>
      </c>
      <c r="H902">
        <v>0</v>
      </c>
      <c r="I902">
        <v>0</v>
      </c>
      <c r="J902">
        <v>0</v>
      </c>
      <c r="K902">
        <v>101</v>
      </c>
      <c r="L902">
        <v>916</v>
      </c>
      <c r="M902">
        <v>2015</v>
      </c>
      <c r="N902" t="str">
        <f t="shared" si="28"/>
        <v>Baja Actividad</v>
      </c>
      <c r="O902" t="str">
        <f t="shared" si="29"/>
        <v>Alto Sedentarismo</v>
      </c>
    </row>
    <row r="903" spans="1:15" x14ac:dyDescent="0.3">
      <c r="A903">
        <v>8792009665</v>
      </c>
      <c r="B903" s="1">
        <v>42434</v>
      </c>
      <c r="C903">
        <v>2421</v>
      </c>
      <c r="D903" s="2">
        <v>154999995231628</v>
      </c>
      <c r="E903">
        <v>0</v>
      </c>
      <c r="F903">
        <v>0</v>
      </c>
      <c r="G903" s="2">
        <v>154999995231628</v>
      </c>
      <c r="H903">
        <v>0</v>
      </c>
      <c r="I903">
        <v>0</v>
      </c>
      <c r="J903">
        <v>0</v>
      </c>
      <c r="K903">
        <v>156</v>
      </c>
      <c r="L903">
        <v>739</v>
      </c>
      <c r="M903">
        <v>2297</v>
      </c>
      <c r="N903" t="str">
        <f t="shared" si="28"/>
        <v>Baja Actividad</v>
      </c>
      <c r="O903" t="str">
        <f t="shared" si="29"/>
        <v>Alto Sedentarismo</v>
      </c>
    </row>
    <row r="904" spans="1:15" x14ac:dyDescent="0.3">
      <c r="A904">
        <v>8792009665</v>
      </c>
      <c r="B904" s="1">
        <v>42465</v>
      </c>
      <c r="C904">
        <v>2283</v>
      </c>
      <c r="D904" s="2">
        <v>146000003814697</v>
      </c>
      <c r="E904">
        <v>0</v>
      </c>
      <c r="F904">
        <v>0</v>
      </c>
      <c r="G904" s="2">
        <v>146000003814697</v>
      </c>
      <c r="H904">
        <v>0</v>
      </c>
      <c r="I904">
        <v>0</v>
      </c>
      <c r="J904">
        <v>0</v>
      </c>
      <c r="K904">
        <v>129</v>
      </c>
      <c r="L904">
        <v>848</v>
      </c>
      <c r="M904">
        <v>2067</v>
      </c>
      <c r="N904" t="str">
        <f t="shared" si="28"/>
        <v>Baja Actividad</v>
      </c>
      <c r="O904" t="str">
        <f t="shared" si="29"/>
        <v>Alto Sedentarismo</v>
      </c>
    </row>
    <row r="905" spans="1:15" x14ac:dyDescent="0.3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1440</v>
      </c>
      <c r="M905">
        <v>1688</v>
      </c>
      <c r="N905" t="str">
        <f t="shared" si="28"/>
        <v>Baja Actividad</v>
      </c>
      <c r="O905" t="str">
        <f t="shared" si="29"/>
        <v>Alto Sedentarismo</v>
      </c>
    </row>
    <row r="906" spans="1:15" x14ac:dyDescent="0.3">
      <c r="A906">
        <v>8792009665</v>
      </c>
      <c r="B906" s="1">
        <v>42526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1440</v>
      </c>
      <c r="M906">
        <v>1688</v>
      </c>
      <c r="N906" t="str">
        <f t="shared" si="28"/>
        <v>Baja Actividad</v>
      </c>
      <c r="O906" t="str">
        <f t="shared" si="29"/>
        <v>Alto Sedentarismo</v>
      </c>
    </row>
    <row r="907" spans="1:15" x14ac:dyDescent="0.3">
      <c r="A907">
        <v>8792009665</v>
      </c>
      <c r="B907" s="1">
        <v>42556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1440</v>
      </c>
      <c r="M907">
        <v>1688</v>
      </c>
      <c r="N907" t="str">
        <f t="shared" si="28"/>
        <v>Baja Actividad</v>
      </c>
      <c r="O907" t="str">
        <f t="shared" si="29"/>
        <v>Alto Sedentarismo</v>
      </c>
    </row>
    <row r="908" spans="1:15" x14ac:dyDescent="0.3">
      <c r="A908">
        <v>8792009665</v>
      </c>
      <c r="B908" s="1">
        <v>42587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1440</v>
      </c>
      <c r="M908">
        <v>1688</v>
      </c>
      <c r="N908" t="str">
        <f t="shared" si="28"/>
        <v>Baja Actividad</v>
      </c>
      <c r="O908" t="str">
        <f t="shared" si="29"/>
        <v>Alto Sedentarismo</v>
      </c>
    </row>
    <row r="909" spans="1:15" x14ac:dyDescent="0.3">
      <c r="A909">
        <v>8792009665</v>
      </c>
      <c r="B909" s="1">
        <v>42618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1440</v>
      </c>
      <c r="M909">
        <v>1688</v>
      </c>
      <c r="N909" t="str">
        <f t="shared" si="28"/>
        <v>Baja Actividad</v>
      </c>
      <c r="O909" t="str">
        <f t="shared" si="29"/>
        <v>Alto Sedentarismo</v>
      </c>
    </row>
    <row r="910" spans="1:15" x14ac:dyDescent="0.3">
      <c r="A910">
        <v>8792009665</v>
      </c>
      <c r="B910" s="1">
        <v>42648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48</v>
      </c>
      <c r="M910">
        <v>57</v>
      </c>
      <c r="N910" t="str">
        <f t="shared" si="28"/>
        <v>Baja Actividad</v>
      </c>
      <c r="O910" t="str">
        <f t="shared" si="29"/>
        <v>Bajo Sedentarismo</v>
      </c>
    </row>
    <row r="911" spans="1:15" x14ac:dyDescent="0.3">
      <c r="A911">
        <v>8877689391</v>
      </c>
      <c r="B911" s="1">
        <v>42708</v>
      </c>
      <c r="C911">
        <v>23186</v>
      </c>
      <c r="D911" s="2">
        <v>203999996185303</v>
      </c>
      <c r="E911" s="2">
        <v>122200002670288</v>
      </c>
      <c r="F911" t="s">
        <v>107</v>
      </c>
      <c r="G911" s="2">
        <v>782000017166138</v>
      </c>
      <c r="H911">
        <v>0</v>
      </c>
      <c r="I911">
        <v>85</v>
      </c>
      <c r="J911">
        <v>7</v>
      </c>
      <c r="K911">
        <v>312</v>
      </c>
      <c r="L911">
        <v>1036</v>
      </c>
      <c r="M911">
        <v>3921</v>
      </c>
      <c r="N911" t="str">
        <f t="shared" si="28"/>
        <v>Alta Actividad</v>
      </c>
      <c r="O911" t="str">
        <f t="shared" si="29"/>
        <v>Alto Sedentarismo</v>
      </c>
    </row>
    <row r="912" spans="1:15" x14ac:dyDescent="0.3">
      <c r="A912">
        <v>8877689391</v>
      </c>
      <c r="B912" t="s">
        <v>15</v>
      </c>
      <c r="C912">
        <v>15337</v>
      </c>
      <c r="D912" s="2">
        <v>957999992370605</v>
      </c>
      <c r="E912" s="2">
        <v>354999995231628</v>
      </c>
      <c r="F912" t="s">
        <v>114</v>
      </c>
      <c r="G912" s="2">
        <v>56399998664856</v>
      </c>
      <c r="H912">
        <v>0</v>
      </c>
      <c r="I912">
        <v>108</v>
      </c>
      <c r="J912">
        <v>18</v>
      </c>
      <c r="K912">
        <v>216</v>
      </c>
      <c r="L912">
        <v>1098</v>
      </c>
      <c r="M912">
        <v>3566</v>
      </c>
      <c r="N912" t="str">
        <f t="shared" si="28"/>
        <v>Alta Actividad</v>
      </c>
      <c r="O912" t="str">
        <f t="shared" si="29"/>
        <v>Alto Sedentarismo</v>
      </c>
    </row>
    <row r="913" spans="1:15" x14ac:dyDescent="0.3">
      <c r="A913">
        <v>8877689391</v>
      </c>
      <c r="B913" t="s">
        <v>17</v>
      </c>
      <c r="C913">
        <v>21129</v>
      </c>
      <c r="D913" s="2">
        <v>189799995422363</v>
      </c>
      <c r="E913" s="2">
        <v>105500001907349</v>
      </c>
      <c r="F913" t="s">
        <v>59</v>
      </c>
      <c r="G913" t="s">
        <v>132</v>
      </c>
      <c r="H913" t="s">
        <v>54</v>
      </c>
      <c r="I913">
        <v>68</v>
      </c>
      <c r="J913">
        <v>13</v>
      </c>
      <c r="K913">
        <v>298</v>
      </c>
      <c r="L913">
        <v>1061</v>
      </c>
      <c r="M913">
        <v>3793</v>
      </c>
      <c r="N913" t="str">
        <f t="shared" si="28"/>
        <v>Alta Actividad</v>
      </c>
      <c r="O913" t="str">
        <f t="shared" si="29"/>
        <v>Alto Sedentarismo</v>
      </c>
    </row>
    <row r="914" spans="1:15" x14ac:dyDescent="0.3">
      <c r="A914">
        <v>8877689391</v>
      </c>
      <c r="B914" t="s">
        <v>19</v>
      </c>
      <c r="C914">
        <v>13422</v>
      </c>
      <c r="D914" s="2">
        <v>717000007629395</v>
      </c>
      <c r="E914" t="s">
        <v>126</v>
      </c>
      <c r="F914" t="s">
        <v>126</v>
      </c>
      <c r="G914" s="2">
        <v>701000022888184</v>
      </c>
      <c r="H914" t="s">
        <v>50</v>
      </c>
      <c r="I914">
        <v>106</v>
      </c>
      <c r="J914">
        <v>1</v>
      </c>
      <c r="K914">
        <v>281</v>
      </c>
      <c r="L914">
        <v>1052</v>
      </c>
      <c r="M914">
        <v>3934</v>
      </c>
      <c r="N914" t="str">
        <f t="shared" si="28"/>
        <v>Alta Actividad</v>
      </c>
      <c r="O914" t="str">
        <f t="shared" si="29"/>
        <v>Alto Sedentarismo</v>
      </c>
    </row>
    <row r="915" spans="1:15" x14ac:dyDescent="0.3">
      <c r="A915">
        <v>8877689391</v>
      </c>
      <c r="B915" t="s">
        <v>20</v>
      </c>
      <c r="C915">
        <v>29326</v>
      </c>
      <c r="D915" s="2">
        <v>252900009155273</v>
      </c>
      <c r="E915" s="2">
        <v>132399997711182</v>
      </c>
      <c r="F915" s="2">
        <v>121000003814697</v>
      </c>
      <c r="G915" s="2">
        <v>10710000038147</v>
      </c>
      <c r="H915">
        <v>0</v>
      </c>
      <c r="I915">
        <v>94</v>
      </c>
      <c r="J915">
        <v>29</v>
      </c>
      <c r="K915">
        <v>429</v>
      </c>
      <c r="L915">
        <v>888</v>
      </c>
      <c r="M915">
        <v>4547</v>
      </c>
      <c r="N915" t="str">
        <f t="shared" si="28"/>
        <v>Alta Actividad</v>
      </c>
      <c r="O915" t="str">
        <f t="shared" si="29"/>
        <v>Alto Sedentarismo</v>
      </c>
    </row>
    <row r="916" spans="1:15" x14ac:dyDescent="0.3">
      <c r="A916">
        <v>8877689391</v>
      </c>
      <c r="B916" t="s">
        <v>22</v>
      </c>
      <c r="C916">
        <v>15118</v>
      </c>
      <c r="D916" s="2">
        <v>886999988555908</v>
      </c>
      <c r="E916">
        <v>0</v>
      </c>
      <c r="F916" t="s">
        <v>74</v>
      </c>
      <c r="G916" s="2">
        <v>878999996185303</v>
      </c>
      <c r="H916">
        <v>0</v>
      </c>
      <c r="I916">
        <v>58</v>
      </c>
      <c r="J916">
        <v>15</v>
      </c>
      <c r="K916">
        <v>307</v>
      </c>
      <c r="L916">
        <v>1060</v>
      </c>
      <c r="M916">
        <v>3545</v>
      </c>
      <c r="N916" t="str">
        <f t="shared" si="28"/>
        <v>Alta Actividad</v>
      </c>
      <c r="O916" t="str">
        <f t="shared" si="29"/>
        <v>Alto Sedentarismo</v>
      </c>
    </row>
    <row r="917" spans="1:15" x14ac:dyDescent="0.3">
      <c r="A917">
        <v>8877689391</v>
      </c>
      <c r="B917" t="s">
        <v>24</v>
      </c>
      <c r="C917">
        <v>11423</v>
      </c>
      <c r="D917" s="2">
        <v>867000007629395</v>
      </c>
      <c r="E917" s="2">
        <v>244000005722046</v>
      </c>
      <c r="F917" t="s">
        <v>80</v>
      </c>
      <c r="G917" s="2">
        <v>594000005722046</v>
      </c>
      <c r="H917">
        <v>0</v>
      </c>
      <c r="I917">
        <v>29</v>
      </c>
      <c r="J917">
        <v>5</v>
      </c>
      <c r="K917">
        <v>191</v>
      </c>
      <c r="L917">
        <v>1215</v>
      </c>
      <c r="M917">
        <v>2761</v>
      </c>
      <c r="N917" t="str">
        <f t="shared" si="28"/>
        <v>Alta Actividad</v>
      </c>
      <c r="O917" t="str">
        <f t="shared" si="29"/>
        <v>Alto Sedentarismo</v>
      </c>
    </row>
    <row r="918" spans="1:15" x14ac:dyDescent="0.3">
      <c r="A918">
        <v>8877689391</v>
      </c>
      <c r="B918" t="s">
        <v>27</v>
      </c>
      <c r="C918">
        <v>18785</v>
      </c>
      <c r="D918" s="2">
        <v>173999996185303</v>
      </c>
      <c r="E918" s="2">
        <v>121499996185303</v>
      </c>
      <c r="F918" t="s">
        <v>98</v>
      </c>
      <c r="G918" s="2">
        <v>503000020980835</v>
      </c>
      <c r="H918">
        <v>0</v>
      </c>
      <c r="I918">
        <v>82</v>
      </c>
      <c r="J918">
        <v>13</v>
      </c>
      <c r="K918">
        <v>214</v>
      </c>
      <c r="L918">
        <v>1131</v>
      </c>
      <c r="M918">
        <v>3676</v>
      </c>
      <c r="N918" t="str">
        <f t="shared" si="28"/>
        <v>Alta Actividad</v>
      </c>
      <c r="O918" t="str">
        <f t="shared" si="29"/>
        <v>Alto Sedentarismo</v>
      </c>
    </row>
    <row r="919" spans="1:15" x14ac:dyDescent="0.3">
      <c r="A919">
        <v>8877689391</v>
      </c>
      <c r="B919" t="s">
        <v>28</v>
      </c>
      <c r="C919">
        <v>19948</v>
      </c>
      <c r="D919" s="2">
        <v>181100006103516</v>
      </c>
      <c r="E919" s="2">
        <v>110200004577637</v>
      </c>
      <c r="F919" t="s">
        <v>16</v>
      </c>
      <c r="G919" s="2">
        <v>634000015258789</v>
      </c>
      <c r="H919">
        <v>0</v>
      </c>
      <c r="I919">
        <v>73</v>
      </c>
      <c r="J919">
        <v>19</v>
      </c>
      <c r="K919">
        <v>225</v>
      </c>
      <c r="L919">
        <v>1123</v>
      </c>
      <c r="M919">
        <v>3679</v>
      </c>
      <c r="N919" t="str">
        <f t="shared" si="28"/>
        <v>Alta Actividad</v>
      </c>
      <c r="O919" t="str">
        <f t="shared" si="29"/>
        <v>Alto Sedentarismo</v>
      </c>
    </row>
    <row r="920" spans="1:15" x14ac:dyDescent="0.3">
      <c r="A920">
        <v>8877689391</v>
      </c>
      <c r="B920" t="s">
        <v>30</v>
      </c>
      <c r="C920">
        <v>19377</v>
      </c>
      <c r="D920" s="2">
        <v>176200008392334</v>
      </c>
      <c r="E920" s="2">
        <v>12289999961853</v>
      </c>
      <c r="F920" t="s">
        <v>102</v>
      </c>
      <c r="G920" s="2">
        <v>48899998664856</v>
      </c>
      <c r="H920">
        <v>0</v>
      </c>
      <c r="I920">
        <v>82</v>
      </c>
      <c r="J920">
        <v>13</v>
      </c>
      <c r="K920">
        <v>226</v>
      </c>
      <c r="L920">
        <v>1119</v>
      </c>
      <c r="M920">
        <v>3659</v>
      </c>
      <c r="N920" t="str">
        <f t="shared" si="28"/>
        <v>Alta Actividad</v>
      </c>
      <c r="O920" t="str">
        <f t="shared" si="29"/>
        <v>Alto Sedentarismo</v>
      </c>
    </row>
    <row r="921" spans="1:15" x14ac:dyDescent="0.3">
      <c r="A921">
        <v>8877689391</v>
      </c>
      <c r="B921" t="s">
        <v>32</v>
      </c>
      <c r="C921">
        <v>18258</v>
      </c>
      <c r="D921" s="2">
        <v>163099994659424</v>
      </c>
      <c r="E921" s="2">
        <v>102299995422363</v>
      </c>
      <c r="F921" t="s">
        <v>88</v>
      </c>
      <c r="G921" s="2">
        <v>596999979019165</v>
      </c>
      <c r="H921" t="s">
        <v>126</v>
      </c>
      <c r="I921">
        <v>61</v>
      </c>
      <c r="J921">
        <v>2</v>
      </c>
      <c r="K921">
        <v>236</v>
      </c>
      <c r="L921">
        <v>1141</v>
      </c>
      <c r="M921">
        <v>3427</v>
      </c>
      <c r="N921" t="str">
        <f t="shared" si="28"/>
        <v>Alta Actividad</v>
      </c>
      <c r="O921" t="str">
        <f t="shared" si="29"/>
        <v>Alto Sedentarismo</v>
      </c>
    </row>
    <row r="922" spans="1:15" x14ac:dyDescent="0.3">
      <c r="A922">
        <v>8877689391</v>
      </c>
      <c r="B922" t="s">
        <v>33</v>
      </c>
      <c r="C922">
        <v>11200</v>
      </c>
      <c r="D922" s="2">
        <v>742999982833862</v>
      </c>
      <c r="E922">
        <v>0</v>
      </c>
      <c r="F922">
        <v>0</v>
      </c>
      <c r="G922" s="2">
        <v>740000009536743</v>
      </c>
      <c r="H922" t="s">
        <v>50</v>
      </c>
      <c r="I922">
        <v>102</v>
      </c>
      <c r="J922">
        <v>6</v>
      </c>
      <c r="K922">
        <v>300</v>
      </c>
      <c r="L922">
        <v>1032</v>
      </c>
      <c r="M922">
        <v>3891</v>
      </c>
      <c r="N922" t="str">
        <f t="shared" si="28"/>
        <v>Alta Actividad</v>
      </c>
      <c r="O922" t="str">
        <f t="shared" si="29"/>
        <v>Alto Sedentarismo</v>
      </c>
    </row>
    <row r="923" spans="1:15" x14ac:dyDescent="0.3">
      <c r="A923">
        <v>8877689391</v>
      </c>
      <c r="B923" t="s">
        <v>35</v>
      </c>
      <c r="C923">
        <v>16674</v>
      </c>
      <c r="D923" s="2">
        <v>157399997711182</v>
      </c>
      <c r="E923" s="2">
        <v>110100002288818</v>
      </c>
      <c r="F923" t="s">
        <v>50</v>
      </c>
      <c r="G923" s="2">
        <v>469000005722046</v>
      </c>
      <c r="H923">
        <v>0</v>
      </c>
      <c r="I923">
        <v>64</v>
      </c>
      <c r="J923">
        <v>1</v>
      </c>
      <c r="K923">
        <v>227</v>
      </c>
      <c r="L923">
        <v>1148</v>
      </c>
      <c r="M923">
        <v>3455</v>
      </c>
      <c r="N923" t="str">
        <f t="shared" si="28"/>
        <v>Alta Actividad</v>
      </c>
      <c r="O923" t="str">
        <f t="shared" si="29"/>
        <v>Alto Sedentarismo</v>
      </c>
    </row>
    <row r="924" spans="1:15" x14ac:dyDescent="0.3">
      <c r="A924">
        <v>8877689391</v>
      </c>
      <c r="B924" t="s">
        <v>37</v>
      </c>
      <c r="C924">
        <v>12986</v>
      </c>
      <c r="D924" s="2">
        <v>873999977111816</v>
      </c>
      <c r="E924" s="2">
        <v>236999988555908</v>
      </c>
      <c r="F924" t="s">
        <v>74</v>
      </c>
      <c r="G924" s="2">
        <v>626999998092651</v>
      </c>
      <c r="H924" t="s">
        <v>50</v>
      </c>
      <c r="I924">
        <v>113</v>
      </c>
      <c r="J924">
        <v>8</v>
      </c>
      <c r="K924">
        <v>218</v>
      </c>
      <c r="L924">
        <v>1101</v>
      </c>
      <c r="M924">
        <v>3802</v>
      </c>
      <c r="N924" t="str">
        <f t="shared" si="28"/>
        <v>Alta Actividad</v>
      </c>
      <c r="O924" t="str">
        <f t="shared" si="29"/>
        <v>Alto Sedentarismo</v>
      </c>
    </row>
    <row r="925" spans="1:15" x14ac:dyDescent="0.3">
      <c r="A925">
        <v>8877689391</v>
      </c>
      <c r="B925" t="s">
        <v>39</v>
      </c>
      <c r="C925">
        <v>11101</v>
      </c>
      <c r="D925" s="2">
        <v>843000030517578</v>
      </c>
      <c r="E925" s="2">
        <v>175999999046326</v>
      </c>
      <c r="F925" t="s">
        <v>86</v>
      </c>
      <c r="G925" t="s">
        <v>152</v>
      </c>
      <c r="H925">
        <v>0</v>
      </c>
      <c r="I925">
        <v>22</v>
      </c>
      <c r="J925">
        <v>3</v>
      </c>
      <c r="K925">
        <v>258</v>
      </c>
      <c r="L925">
        <v>1157</v>
      </c>
      <c r="M925">
        <v>2860</v>
      </c>
      <c r="N925" t="str">
        <f t="shared" si="28"/>
        <v>Alta Actividad</v>
      </c>
      <c r="O925" t="str">
        <f t="shared" si="29"/>
        <v>Alto Sedentarismo</v>
      </c>
    </row>
    <row r="926" spans="1:15" x14ac:dyDescent="0.3">
      <c r="A926">
        <v>8877689391</v>
      </c>
      <c r="B926" t="s">
        <v>41</v>
      </c>
      <c r="C926">
        <v>23629</v>
      </c>
      <c r="D926" s="2">
        <v>206499996185303</v>
      </c>
      <c r="E926" s="2">
        <v>130699996948242</v>
      </c>
      <c r="F926" t="s">
        <v>134</v>
      </c>
      <c r="G926" s="2">
        <v>709999990463257</v>
      </c>
      <c r="H926">
        <v>0</v>
      </c>
      <c r="I926">
        <v>93</v>
      </c>
      <c r="J926">
        <v>8</v>
      </c>
      <c r="K926">
        <v>235</v>
      </c>
      <c r="L926">
        <v>1104</v>
      </c>
      <c r="M926">
        <v>3808</v>
      </c>
      <c r="N926" t="str">
        <f t="shared" si="28"/>
        <v>Alta Actividad</v>
      </c>
      <c r="O926" t="str">
        <f t="shared" si="29"/>
        <v>Alto Sedentarismo</v>
      </c>
    </row>
    <row r="927" spans="1:15" x14ac:dyDescent="0.3">
      <c r="A927">
        <v>8877689391</v>
      </c>
      <c r="B927" t="s">
        <v>42</v>
      </c>
      <c r="C927">
        <v>14890</v>
      </c>
      <c r="D927" s="2">
        <v>113000001907349</v>
      </c>
      <c r="E927" s="2">
        <v>492999982833862</v>
      </c>
      <c r="F927" t="s">
        <v>114</v>
      </c>
      <c r="G927" s="2">
        <v>596999979019165</v>
      </c>
      <c r="H927">
        <v>0</v>
      </c>
      <c r="I927">
        <v>58</v>
      </c>
      <c r="J927">
        <v>8</v>
      </c>
      <c r="K927">
        <v>231</v>
      </c>
      <c r="L927">
        <v>1143</v>
      </c>
      <c r="M927">
        <v>3060</v>
      </c>
      <c r="N927" t="str">
        <f t="shared" si="28"/>
        <v>Alta Actividad</v>
      </c>
      <c r="O927" t="str">
        <f t="shared" si="29"/>
        <v>Alto Sedentarismo</v>
      </c>
    </row>
    <row r="928" spans="1:15" x14ac:dyDescent="0.3">
      <c r="A928">
        <v>8877689391</v>
      </c>
      <c r="B928" t="s">
        <v>43</v>
      </c>
      <c r="C928">
        <v>9733</v>
      </c>
      <c r="D928" s="2">
        <v>73899998664856</v>
      </c>
      <c r="E928" s="2">
        <v>137999999523163</v>
      </c>
      <c r="F928" t="s">
        <v>92</v>
      </c>
      <c r="G928" s="2">
        <v>578999996185303</v>
      </c>
      <c r="H928">
        <v>0</v>
      </c>
      <c r="I928">
        <v>18</v>
      </c>
      <c r="J928">
        <v>5</v>
      </c>
      <c r="K928">
        <v>210</v>
      </c>
      <c r="L928">
        <v>1207</v>
      </c>
      <c r="M928">
        <v>2698</v>
      </c>
      <c r="N928" t="str">
        <f t="shared" si="28"/>
        <v>Baja Actividad</v>
      </c>
      <c r="O928" t="str">
        <f t="shared" si="29"/>
        <v>Alto Sedentarismo</v>
      </c>
    </row>
    <row r="929" spans="1:15" x14ac:dyDescent="0.3">
      <c r="A929">
        <v>8877689391</v>
      </c>
      <c r="B929" t="s">
        <v>45</v>
      </c>
      <c r="C929">
        <v>27745</v>
      </c>
      <c r="D929" s="2">
        <v>267199993133545</v>
      </c>
      <c r="E929" s="2">
        <v>216599998474121</v>
      </c>
      <c r="F929" t="s">
        <v>111</v>
      </c>
      <c r="G929" s="2">
        <v>492999982833862</v>
      </c>
      <c r="H929">
        <v>0</v>
      </c>
      <c r="I929">
        <v>124</v>
      </c>
      <c r="J929">
        <v>4</v>
      </c>
      <c r="K929">
        <v>223</v>
      </c>
      <c r="L929">
        <v>1089</v>
      </c>
      <c r="M929">
        <v>4398</v>
      </c>
      <c r="N929" t="str">
        <f t="shared" si="28"/>
        <v>Alta Actividad</v>
      </c>
      <c r="O929" t="str">
        <f t="shared" si="29"/>
        <v>Alto Sedentarismo</v>
      </c>
    </row>
    <row r="930" spans="1:15" x14ac:dyDescent="0.3">
      <c r="A930">
        <v>8877689391</v>
      </c>
      <c r="B930" s="1">
        <v>42374</v>
      </c>
      <c r="C930">
        <v>10930</v>
      </c>
      <c r="D930" s="2">
        <v>831999969482422</v>
      </c>
      <c r="E930" s="2">
        <v>313000011444092</v>
      </c>
      <c r="F930" t="s">
        <v>38</v>
      </c>
      <c r="G930" s="2">
        <v>457000017166138</v>
      </c>
      <c r="H930">
        <v>0</v>
      </c>
      <c r="I930">
        <v>36</v>
      </c>
      <c r="J930">
        <v>12</v>
      </c>
      <c r="K930">
        <v>166</v>
      </c>
      <c r="L930">
        <v>1226</v>
      </c>
      <c r="M930">
        <v>2786</v>
      </c>
      <c r="N930" t="str">
        <f t="shared" si="28"/>
        <v>Alta Actividad</v>
      </c>
      <c r="O930" t="str">
        <f t="shared" si="29"/>
        <v>Alto Sedentarismo</v>
      </c>
    </row>
    <row r="931" spans="1:15" x14ac:dyDescent="0.3">
      <c r="A931">
        <v>8877689391</v>
      </c>
      <c r="B931" s="1">
        <v>42405</v>
      </c>
      <c r="C931">
        <v>4790</v>
      </c>
      <c r="D931" s="2">
        <v>364000010490417</v>
      </c>
      <c r="E931">
        <v>0</v>
      </c>
      <c r="F931">
        <v>0</v>
      </c>
      <c r="G931" s="2">
        <v>355999994277954</v>
      </c>
      <c r="H931">
        <v>0</v>
      </c>
      <c r="I931">
        <v>0</v>
      </c>
      <c r="J931">
        <v>0</v>
      </c>
      <c r="K931">
        <v>105</v>
      </c>
      <c r="L931">
        <v>1335</v>
      </c>
      <c r="M931">
        <v>2189</v>
      </c>
      <c r="N931" t="str">
        <f t="shared" si="28"/>
        <v>Baja Actividad</v>
      </c>
      <c r="O931" t="str">
        <f t="shared" si="29"/>
        <v>Alto Sedentarismo</v>
      </c>
    </row>
    <row r="932" spans="1:15" x14ac:dyDescent="0.3">
      <c r="A932">
        <v>8877689391</v>
      </c>
      <c r="B932" s="1">
        <v>42434</v>
      </c>
      <c r="C932">
        <v>10818</v>
      </c>
      <c r="D932" s="2">
        <v>821000003814697</v>
      </c>
      <c r="E932" s="2">
        <v>138999998569489</v>
      </c>
      <c r="F932" t="s">
        <v>93</v>
      </c>
      <c r="G932" s="2">
        <v>667000007629395</v>
      </c>
      <c r="H932" t="s">
        <v>50</v>
      </c>
      <c r="I932">
        <v>19</v>
      </c>
      <c r="J932">
        <v>3</v>
      </c>
      <c r="K932">
        <v>229</v>
      </c>
      <c r="L932">
        <v>1189</v>
      </c>
      <c r="M932">
        <v>2817</v>
      </c>
      <c r="N932" t="str">
        <f t="shared" si="28"/>
        <v>Alta Actividad</v>
      </c>
      <c r="O932" t="str">
        <f t="shared" si="29"/>
        <v>Alto Sedentarismo</v>
      </c>
    </row>
    <row r="933" spans="1:15" x14ac:dyDescent="0.3">
      <c r="A933">
        <v>8877689391</v>
      </c>
      <c r="B933" s="1">
        <v>42465</v>
      </c>
      <c r="C933">
        <v>18193</v>
      </c>
      <c r="D933" s="2">
        <v>162999992370605</v>
      </c>
      <c r="E933" s="2">
        <v>104200000762939</v>
      </c>
      <c r="F933" t="s">
        <v>75</v>
      </c>
      <c r="G933" s="2">
        <v>553000020980835</v>
      </c>
      <c r="H933">
        <v>0</v>
      </c>
      <c r="I933">
        <v>66</v>
      </c>
      <c r="J933">
        <v>8</v>
      </c>
      <c r="K933">
        <v>212</v>
      </c>
      <c r="L933">
        <v>1154</v>
      </c>
      <c r="M933">
        <v>3477</v>
      </c>
      <c r="N933" t="str">
        <f t="shared" si="28"/>
        <v>Alta Actividad</v>
      </c>
      <c r="O933" t="str">
        <f t="shared" si="29"/>
        <v>Alto Sedentarismo</v>
      </c>
    </row>
    <row r="934" spans="1:15" x14ac:dyDescent="0.3">
      <c r="A934">
        <v>8877689391</v>
      </c>
      <c r="B934" s="1">
        <v>42495</v>
      </c>
      <c r="C934">
        <v>14055</v>
      </c>
      <c r="D934" s="2">
        <v>106700000762939</v>
      </c>
      <c r="E934" s="2">
        <v>546000003814697</v>
      </c>
      <c r="F934" t="s">
        <v>79</v>
      </c>
      <c r="G934" s="2">
        <v>436999988555908</v>
      </c>
      <c r="H934">
        <v>0</v>
      </c>
      <c r="I934">
        <v>67</v>
      </c>
      <c r="J934">
        <v>15</v>
      </c>
      <c r="K934">
        <v>188</v>
      </c>
      <c r="L934">
        <v>1170</v>
      </c>
      <c r="M934">
        <v>3052</v>
      </c>
      <c r="N934" t="str">
        <f t="shared" si="28"/>
        <v>Alta Actividad</v>
      </c>
      <c r="O934" t="str">
        <f t="shared" si="29"/>
        <v>Alto Sedentarismo</v>
      </c>
    </row>
    <row r="935" spans="1:15" x14ac:dyDescent="0.3">
      <c r="A935">
        <v>8877689391</v>
      </c>
      <c r="B935" s="1">
        <v>42526</v>
      </c>
      <c r="C935">
        <v>21727</v>
      </c>
      <c r="D935" s="2">
        <v>193400001525879</v>
      </c>
      <c r="E935" s="2">
        <v>12789999961853</v>
      </c>
      <c r="F935" t="s">
        <v>131</v>
      </c>
      <c r="G935" s="2">
        <v>615999984741211</v>
      </c>
      <c r="H935">
        <v>0</v>
      </c>
      <c r="I935">
        <v>96</v>
      </c>
      <c r="J935">
        <v>17</v>
      </c>
      <c r="K935">
        <v>232</v>
      </c>
      <c r="L935">
        <v>1095</v>
      </c>
      <c r="M935">
        <v>4015</v>
      </c>
      <c r="N935" t="str">
        <f t="shared" si="28"/>
        <v>Alta Actividad</v>
      </c>
      <c r="O935" t="str">
        <f t="shared" si="29"/>
        <v>Alto Sedentarismo</v>
      </c>
    </row>
    <row r="936" spans="1:15" x14ac:dyDescent="0.3">
      <c r="A936">
        <v>8877689391</v>
      </c>
      <c r="B936" s="1">
        <v>42556</v>
      </c>
      <c r="C936">
        <v>12332</v>
      </c>
      <c r="D936" s="2">
        <v>813000011444092</v>
      </c>
      <c r="E936" t="s">
        <v>111</v>
      </c>
      <c r="F936" t="s">
        <v>105</v>
      </c>
      <c r="G936" s="2">
        <v>698999977111816</v>
      </c>
      <c r="H936">
        <v>0</v>
      </c>
      <c r="I936">
        <v>105</v>
      </c>
      <c r="J936">
        <v>28</v>
      </c>
      <c r="K936">
        <v>271</v>
      </c>
      <c r="L936">
        <v>1036</v>
      </c>
      <c r="M936">
        <v>4142</v>
      </c>
      <c r="N936" t="str">
        <f t="shared" si="28"/>
        <v>Alta Actividad</v>
      </c>
      <c r="O936" t="str">
        <f t="shared" si="29"/>
        <v>Alto Sedentarismo</v>
      </c>
    </row>
    <row r="937" spans="1:15" x14ac:dyDescent="0.3">
      <c r="A937">
        <v>8877689391</v>
      </c>
      <c r="B937" s="1">
        <v>42587</v>
      </c>
      <c r="C937">
        <v>10686</v>
      </c>
      <c r="D937" s="2">
        <v>810999965667725</v>
      </c>
      <c r="E937" s="2">
        <v>108000004291534</v>
      </c>
      <c r="F937" t="s">
        <v>56</v>
      </c>
      <c r="G937" s="2">
        <v>680000019073486</v>
      </c>
      <c r="H937">
        <v>0</v>
      </c>
      <c r="I937">
        <v>17</v>
      </c>
      <c r="J937">
        <v>4</v>
      </c>
      <c r="K937">
        <v>245</v>
      </c>
      <c r="L937">
        <v>1174</v>
      </c>
      <c r="M937">
        <v>2847</v>
      </c>
      <c r="N937" t="str">
        <f t="shared" si="28"/>
        <v>Alta Actividad</v>
      </c>
      <c r="O937" t="str">
        <f t="shared" si="29"/>
        <v>Alto Sedentarismo</v>
      </c>
    </row>
    <row r="938" spans="1:15" x14ac:dyDescent="0.3">
      <c r="A938">
        <v>8877689391</v>
      </c>
      <c r="B938" s="1">
        <v>42618</v>
      </c>
      <c r="C938">
        <v>20226</v>
      </c>
      <c r="D938" t="s">
        <v>153</v>
      </c>
      <c r="E938" s="2">
        <v>111000003814697</v>
      </c>
      <c r="F938" t="s">
        <v>70</v>
      </c>
      <c r="G938" s="2">
        <v>623999977111816</v>
      </c>
      <c r="H938" t="s">
        <v>126</v>
      </c>
      <c r="I938">
        <v>73</v>
      </c>
      <c r="J938">
        <v>19</v>
      </c>
      <c r="K938">
        <v>217</v>
      </c>
      <c r="L938">
        <v>1131</v>
      </c>
      <c r="M938">
        <v>3710</v>
      </c>
      <c r="N938" t="str">
        <f t="shared" si="28"/>
        <v>Alta Actividad</v>
      </c>
      <c r="O938" t="str">
        <f t="shared" si="29"/>
        <v>Alto Sedentarismo</v>
      </c>
    </row>
    <row r="939" spans="1:15" x14ac:dyDescent="0.3">
      <c r="A939">
        <v>8877689391</v>
      </c>
      <c r="B939" s="1">
        <v>42648</v>
      </c>
      <c r="C939">
        <v>10733</v>
      </c>
      <c r="D939" s="2">
        <v>814999961853027</v>
      </c>
      <c r="E939" s="2">
        <v>135000002384186</v>
      </c>
      <c r="F939" t="s">
        <v>108</v>
      </c>
      <c r="G939" s="2">
        <v>628000020980835</v>
      </c>
      <c r="H939">
        <v>0</v>
      </c>
      <c r="I939">
        <v>18</v>
      </c>
      <c r="J939">
        <v>11</v>
      </c>
      <c r="K939">
        <v>224</v>
      </c>
      <c r="L939">
        <v>1187</v>
      </c>
      <c r="M939">
        <v>2832</v>
      </c>
      <c r="N939" t="str">
        <f t="shared" si="28"/>
        <v>Alta Actividad</v>
      </c>
      <c r="O939" t="str">
        <f t="shared" si="29"/>
        <v>Alto Sedentarismo</v>
      </c>
    </row>
    <row r="940" spans="1:15" x14ac:dyDescent="0.3">
      <c r="A940">
        <v>8877689391</v>
      </c>
      <c r="B940" s="1">
        <v>42679</v>
      </c>
      <c r="C940">
        <v>21420</v>
      </c>
      <c r="D940" s="2">
        <v>195599994659424</v>
      </c>
      <c r="E940" s="2">
        <v>132200002670288</v>
      </c>
      <c r="F940" t="s">
        <v>21</v>
      </c>
      <c r="G940" s="2">
        <v>58899998664856</v>
      </c>
      <c r="H940">
        <v>0</v>
      </c>
      <c r="I940">
        <v>88</v>
      </c>
      <c r="J940">
        <v>12</v>
      </c>
      <c r="K940">
        <v>213</v>
      </c>
      <c r="L940">
        <v>1127</v>
      </c>
      <c r="M940">
        <v>3832</v>
      </c>
      <c r="N940" t="str">
        <f t="shared" si="28"/>
        <v>Alta Actividad</v>
      </c>
      <c r="O940" t="str">
        <f t="shared" si="29"/>
        <v>Alto Sedentarismo</v>
      </c>
    </row>
    <row r="941" spans="1:15" x14ac:dyDescent="0.3">
      <c r="A941">
        <v>8877689391</v>
      </c>
      <c r="B941" s="1">
        <v>42709</v>
      </c>
      <c r="C941">
        <v>8064</v>
      </c>
      <c r="D941" s="2">
        <v>611999988555908</v>
      </c>
      <c r="E941" s="2">
        <v>182000005245209</v>
      </c>
      <c r="F941" t="s">
        <v>133</v>
      </c>
      <c r="G941" t="s">
        <v>68</v>
      </c>
      <c r="H941">
        <v>0</v>
      </c>
      <c r="I941">
        <v>23</v>
      </c>
      <c r="J941">
        <v>1</v>
      </c>
      <c r="K941">
        <v>137</v>
      </c>
      <c r="L941">
        <v>770</v>
      </c>
      <c r="M941">
        <v>1849</v>
      </c>
      <c r="N941" t="str">
        <f t="shared" si="28"/>
        <v>Baja Actividad</v>
      </c>
      <c r="O941" t="str">
        <f t="shared" si="29"/>
        <v>Alto Sedentarismo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dailyActivity_merged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Camilo Rodríguez Ortegón</dc:creator>
  <cp:lastModifiedBy>José Camilo Rodríguez Ortegón</cp:lastModifiedBy>
  <dcterms:created xsi:type="dcterms:W3CDTF">2026-08-23T02:12:48Z</dcterms:created>
  <dcterms:modified xsi:type="dcterms:W3CDTF">2026-08-23T21:47:26Z</dcterms:modified>
</cp:coreProperties>
</file>